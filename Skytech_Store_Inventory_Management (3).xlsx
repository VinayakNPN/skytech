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ashboard" sheetId="2" r:id="rId5"/>
    <sheet state="visible" name="Job Master" sheetId="3" r:id="rId6"/>
    <sheet state="visible" name="Item Master" sheetId="4" r:id="rId7"/>
    <sheet state="visible" name="Stock IN" sheetId="5" r:id="rId8"/>
    <sheet state="visible" name="Stock OUT (Issue)" sheetId="6" r:id="rId9"/>
    <sheet state="visible" name="Job-wise Issue Summary" sheetId="7" r:id="rId10"/>
  </sheets>
  <definedNames>
    <definedName hidden="1" localSheetId="3" name="_xlnm._FilterDatabase">'Item Master'!$A$2:$Q$302</definedName>
  </definedNames>
  <calcPr/>
  <extLst>
    <ext uri="GoogleSheetsCustomDataVersion2">
      <go:sheetsCustomData xmlns:go="http://customooxmlschemas.google.com/" r:id="rId11" roundtripDataChecksum="QUKcnGVjZ3EjF6CFPjhvjTGQFSa47KOaCwKvW+G9IB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ID#AAACDnxextk
Unknown Author    (2026-07-21 11:58:19)
Job columns assume Job No values JOB-01..JOB-05 in Job Master. If you rename job codes, update headers D2:H2 and the "JOB-0x" text in each column's formula.</t>
      </text>
    </comment>
  </commentList>
  <extLst>
    <ext uri="GoogleSheetsCustomDataVersion2">
      <go:sheetsCustomData xmlns:go="http://customooxmlschemas.google.com/" r:id="rId1" roundtripDataSignature="AMtx7mhgGPSyeXdbz6iZtsCAU19PX20NTw=="/>
    </ext>
  </extLst>
</comments>
</file>

<file path=xl/sharedStrings.xml><?xml version="1.0" encoding="utf-8"?>
<sst xmlns="http://schemas.openxmlformats.org/spreadsheetml/2006/main" count="231" uniqueCount="149">
  <si>
    <t>SKYTECH SWITCHGEAR — STORE / INVENTORY MANAGEMENT SYSTEM</t>
  </si>
  <si>
    <t>Material Stock, IN/OUT and Job-wise Issue Tracker</t>
  </si>
  <si>
    <t>HOW THIS WORKBOOK WORKS</t>
  </si>
  <si>
    <t>1. Job Master</t>
  </si>
  <si>
    <t>Enter your current/running jobs here (up to 5 shown, add more rows if needed). Every material issued must be linked to one Job No.</t>
  </si>
  <si>
    <t>2. Item Master</t>
  </si>
  <si>
    <t>This is your master list of all materials. ADD a new material = add a new row here with a new Item Code. REMOVE a material = set its Status to 'Inactive' (do not delete rows once it has transactions, or your IN/OUT history and totals will break). The Make column records the brand/manufacturer, and Part No. records the manufacturer's catalog/part number for that item.</t>
  </si>
  <si>
    <t>3. Stock IN</t>
  </si>
  <si>
    <t>Every time material is received/purchased, add one row here — select the Item Code from the dropdown, enter quantity, supplier, invoice no. Description &amp; Unit fill automatically.</t>
  </si>
  <si>
    <t>4. Stock OUT (Issue)</t>
  </si>
  <si>
    <t>Every time material is issued to a job/site, add one row here — select the Job No and Item Code from dropdowns, enter quantity. Description &amp; Unit fill automatically.</t>
  </si>
  <si>
    <t>5. Item Master — Current Stock</t>
  </si>
  <si>
    <t>Current Stock is calculated AUTOMATICALLY for every item = Opening Stock + Total IN − Total OUT. You never edit this column directly.</t>
  </si>
  <si>
    <t>6. Job-wise Issue Summary</t>
  </si>
  <si>
    <t>Shows total quantity of every material issued to each job, calculated automatically from the Stock OUT sheet.</t>
  </si>
  <si>
    <t>7. Dashboard</t>
  </si>
  <si>
    <t>Quick snapshot: total items, items below reorder level, total stock value, job-wise issue totals.</t>
  </si>
  <si>
    <t>IMPORTANT RULES</t>
  </si>
  <si>
    <t>• Item Code</t>
  </si>
  <si>
    <t>Must be unique for every material (e.g., MCB-001, CBL-010). Never reuse a code for a different item.</t>
  </si>
  <si>
    <t>• Do not delete rows</t>
  </si>
  <si>
    <t>In Stock IN / Stock OUT sheets, never delete old rows — this is your permanent transaction history. To fix a mistake, correct the row or add a reversing entry.</t>
  </si>
  <si>
    <t>• Reorder Alert</t>
  </si>
  <si>
    <t>In Item Master, if Current Stock falls to/below Min Stock Level, the Status cell turns red and shows 'REORDER'.</t>
  </si>
  <si>
    <t>• Colors</t>
  </si>
  <si>
    <t>Blue text = you can type here. Black text = automatic formula, do not overwrite.</t>
  </si>
  <si>
    <t>• Finding materials fast</t>
  </si>
  <si>
    <t>In Item Master, type any keyword (item code, description, make, part no., or category like 'lugs', 'wire', 'Siemens') into the yellow Quick Search box (cell T2, top right of the sheet) — matching rows highlight in yellow. You can also click the ▼ filter arrows on any column header (e.g. Make, Category) to filter the list instantly.</t>
  </si>
  <si>
    <t>STORE DASHBOARD</t>
  </si>
  <si>
    <t>Live snapshot — updates automatically as you enter data</t>
  </si>
  <si>
    <t>Total Active Items</t>
  </si>
  <si>
    <t>Items Below Reorder Level</t>
  </si>
  <si>
    <t>Total Stock Value (₹)</t>
  </si>
  <si>
    <t>Total Stock IN Entries</t>
  </si>
  <si>
    <t>Total Stock OUT Entries</t>
  </si>
  <si>
    <t>MATERIAL ISSUED PER JOB (Total Qty across all items)</t>
  </si>
  <si>
    <t>Job No</t>
  </si>
  <si>
    <t>Total Qty Issued</t>
  </si>
  <si>
    <t>JOB-01</t>
  </si>
  <si>
    <t>JOB-02</t>
  </si>
  <si>
    <t>JOB-03</t>
  </si>
  <si>
    <t>JOB-04</t>
  </si>
  <si>
    <t>JOB-05</t>
  </si>
  <si>
    <t>Tip: See 'Item Master' sheet for full reorder list, 'Job-wise Issue Summary' for item-by-item job consumption.</t>
  </si>
  <si>
    <t>JOB MASTER  (Add/Edit your running jobs here — used as dropdown in Stock OUT sheet)</t>
  </si>
  <si>
    <t>S.No</t>
  </si>
  <si>
    <t>Job / Client Name</t>
  </si>
  <si>
    <t>Location</t>
  </si>
  <si>
    <t>Start Date</t>
  </si>
  <si>
    <t>Status</t>
  </si>
  <si>
    <t>Remarks</t>
  </si>
  <si>
    <t>Britannia Rudrapur - DGF Oven PLC/HMI</t>
  </si>
  <si>
    <t>Rudrapur</t>
  </si>
  <si>
    <t>Running</t>
  </si>
  <si>
    <t>Ordnance Parachute Factory Kanpur - HT/LT Panel</t>
  </si>
  <si>
    <t>Kanpur</t>
  </si>
  <si>
    <t>Flour Mill - Instrumentation</t>
  </si>
  <si>
    <t>Kolkata</t>
  </si>
  <si>
    <t>ITEM MASTER  (Add new material = new row with new Item Code. Remove material = set Status to Inactive)</t>
  </si>
  <si>
    <t>🔍 QUICK SEARCH</t>
  </si>
  <si>
    <t>Item Code</t>
  </si>
  <si>
    <t>Description</t>
  </si>
  <si>
    <t>Make</t>
  </si>
  <si>
    <t>Part No.</t>
  </si>
  <si>
    <t>Category</t>
  </si>
  <si>
    <t>Unit</t>
  </si>
  <si>
    <t>Opening
Stock</t>
  </si>
  <si>
    <t>Min Stock
Level</t>
  </si>
  <si>
    <t>Rate (₹)</t>
  </si>
  <si>
    <t>Total IN</t>
  </si>
  <si>
    <t>Total OUT</t>
  </si>
  <si>
    <t>Current
Stock</t>
  </si>
  <si>
    <t>Stock Value (₹)</t>
  </si>
  <si>
    <t>Location/
Rack</t>
  </si>
  <si>
    <t>Type keyword (Code / Description / Make / Part No / Category):</t>
  </si>
  <si>
    <t>MCB-006</t>
  </si>
  <si>
    <t>MCB 06A SP C-Curve</t>
  </si>
  <si>
    <t>Schneider Electric</t>
  </si>
  <si>
    <t>Switchgear Parts</t>
  </si>
  <si>
    <t>Nos</t>
  </si>
  <si>
    <t>Active</t>
  </si>
  <si>
    <t>MCB-032</t>
  </si>
  <si>
    <t>MCB 32A SP C-Curve</t>
  </si>
  <si>
    <t>Matching rows highlight in yellow below.</t>
  </si>
  <si>
    <t>MCCB-001</t>
  </si>
  <si>
    <t>MCCB 100A TP</t>
  </si>
  <si>
    <t>Siemens</t>
  </si>
  <si>
    <t>Use the ▼ filter arrows on column headers (e.g. Make, Category, Status) to filter/sort the list.</t>
  </si>
  <si>
    <t>CONT-001</t>
  </si>
  <si>
    <t>Contactor 32A 3-Pole</t>
  </si>
  <si>
    <t>Contactors &amp; Relays</t>
  </si>
  <si>
    <t>RLY-001</t>
  </si>
  <si>
    <t>Control Relay 230V 2C/O</t>
  </si>
  <si>
    <t>OMRON</t>
  </si>
  <si>
    <t>CBL-001</t>
  </si>
  <si>
    <t>Cable 2.5 sqmm Cu (FRLS)</t>
  </si>
  <si>
    <t>Polycab</t>
  </si>
  <si>
    <t>Cable</t>
  </si>
  <si>
    <t>Mtr</t>
  </si>
  <si>
    <t>CBL-002</t>
  </si>
  <si>
    <t>Cable 4 sqmm Cu (FRLS)</t>
  </si>
  <si>
    <t>WIRE-001</t>
  </si>
  <si>
    <t>Control Wire 1.5 sqmm (Single Core)</t>
  </si>
  <si>
    <t>Finolex</t>
  </si>
  <si>
    <t>Wire</t>
  </si>
  <si>
    <t>LUG-001</t>
  </si>
  <si>
    <t>Copper Lug 4 sqmm (Ring Type)</t>
  </si>
  <si>
    <t>Dowells</t>
  </si>
  <si>
    <t>Lugs &amp; Ferrules</t>
  </si>
  <si>
    <t>LUG-002</t>
  </si>
  <si>
    <t>Bootlace Ferrule 1.5 sqmm</t>
  </si>
  <si>
    <t>NB-001</t>
  </si>
  <si>
    <t>Hex Bolt M6 x 20mm SS</t>
  </si>
  <si>
    <t>Local/Generic</t>
  </si>
  <si>
    <t>Nut Bolts &amp; Fasteners</t>
  </si>
  <si>
    <t>NB-002</t>
  </si>
  <si>
    <t>Nut M6 SS</t>
  </si>
  <si>
    <t>TB-001</t>
  </si>
  <si>
    <t>Terminal Block 4mm</t>
  </si>
  <si>
    <t>Elmex</t>
  </si>
  <si>
    <t>Terminal Blocks</t>
  </si>
  <si>
    <t>PLC-001</t>
  </si>
  <si>
    <t>PLC Module - Digital I/O</t>
  </si>
  <si>
    <t>PLC &amp; Automation</t>
  </si>
  <si>
    <t>HMI-001</t>
  </si>
  <si>
    <t>HMI 7 inch Touch Panel</t>
  </si>
  <si>
    <t>HMI &amp; Display</t>
  </si>
  <si>
    <t>BUS-001</t>
  </si>
  <si>
    <t>Copper Bus Bar 25x5mm</t>
  </si>
  <si>
    <t>Bus Bar</t>
  </si>
  <si>
    <t>GLD-001</t>
  </si>
  <si>
    <t>Glow Indicator Lamp 22mm</t>
  </si>
  <si>
    <t>L&amp;T</t>
  </si>
  <si>
    <t>Indicators &amp; Pilot Devices</t>
  </si>
  <si>
    <t>CG-001</t>
  </si>
  <si>
    <t>Cable Gland PG-13.5</t>
  </si>
  <si>
    <t>Cable Glands &amp; Accessories</t>
  </si>
  <si>
    <t>STOCK IN — MATERIAL RECEIPT LOG  (select Item Code, Description/Unit fill automatically)</t>
  </si>
  <si>
    <t>Date</t>
  </si>
  <si>
    <t>Qty IN</t>
  </si>
  <si>
    <t>Supplier / Vendor</t>
  </si>
  <si>
    <t>Invoice / Challan No.</t>
  </si>
  <si>
    <t>Received By</t>
  </si>
  <si>
    <t>STOCK OUT — MATERIAL ISSUE LOG  (select Job No + Item Code, Description/Unit fill automatically)</t>
  </si>
  <si>
    <t>Qty OUT</t>
  </si>
  <si>
    <t>Issued To</t>
  </si>
  <si>
    <t>Issued By</t>
  </si>
  <si>
    <t>JOB-WISE MATERIAL ISSUE SUMMARY  (auto-calculated from Stock OUT sheet — quantity issued per item per job)</t>
  </si>
  <si>
    <t>Total Issued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</si>
</sst>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₹#,##0"/>
    <numFmt numFmtId="165" formatCode="dd\-mmm\-yyyy"/>
  </numFmts>
  <fonts count="12">
    <font>
      <sz val="11.0"/>
      <color theme="1"/>
      <name val="Calibri"/>
      <scheme val="minor"/>
    </font>
    <font>
      <b/>
      <sz val="16.0"/>
      <color rgb="FF1F3864"/>
      <name val="Arial"/>
    </font>
    <font>
      <i/>
      <sz val="10.0"/>
      <color rgb="FF595959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rgb="FF2F5597"/>
      <name val="Arial"/>
    </font>
    <font>
      <b/>
      <sz val="12.0"/>
      <color rgb="FF1F3864"/>
      <name val="Arial"/>
    </font>
    <font>
      <b/>
      <sz val="11.0"/>
      <color rgb="FFFFFFFF"/>
      <name val="Arial"/>
    </font>
    <font>
      <sz val="10.0"/>
      <color rgb="FF0000FF"/>
      <name val="Arial"/>
    </font>
    <font>
      <sz val="11.0"/>
      <color theme="1"/>
      <name val="Calibri"/>
    </font>
    <font>
      <b/>
      <sz val="11.0"/>
      <color theme="1"/>
      <name val="Arial"/>
    </font>
    <font/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2F5597"/>
        <bgColor rgb="FF2F5597"/>
      </patternFill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375623"/>
        <bgColor rgb="FF375623"/>
      </patternFill>
    </fill>
    <fill>
      <patternFill patternType="solid">
        <fgColor rgb="FFC55A11"/>
        <bgColor rgb="FFC55A11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6" numFmtId="164" xfId="0" applyAlignment="1" applyBorder="1" applyFont="1" applyNumberFormat="1">
      <alignment shrinkToFit="0" vertical="bottom" wrapText="0"/>
    </xf>
    <xf borderId="2" fillId="3" fontId="7" numFmtId="0" xfId="0" applyAlignment="1" applyBorder="1" applyFill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3" xfId="0" applyAlignment="1" applyBorder="1" applyFont="1" applyNumberFormat="1">
      <alignment shrinkToFit="0" vertical="bottom" wrapText="0"/>
    </xf>
    <xf borderId="1" fillId="4" fontId="7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4" numFmtId="0" xfId="0" applyAlignment="1" applyFont="1">
      <alignment shrinkToFit="0" vertical="center" wrapText="1"/>
    </xf>
    <xf borderId="3" fillId="5" fontId="10" numFmtId="0" xfId="0" applyAlignment="1" applyBorder="1" applyFill="1" applyFont="1">
      <alignment shrinkToFit="0" vertical="bottom" wrapText="0"/>
    </xf>
    <xf borderId="1" fillId="0" fontId="8" numFmtId="3" xfId="0" applyAlignment="1" applyBorder="1" applyFont="1" applyNumberFormat="1">
      <alignment shrinkToFit="0" vertical="bottom" wrapText="0"/>
    </xf>
    <xf borderId="1" fillId="0" fontId="9" numFmtId="3" xfId="0" applyAlignment="1" applyBorder="1" applyFont="1" applyNumberFormat="1">
      <alignment shrinkToFit="0" vertical="bottom" wrapText="0"/>
    </xf>
    <xf borderId="1" fillId="0" fontId="9" numFmtId="164" xfId="0" applyAlignment="1" applyBorder="1" applyFont="1" applyNumberFormat="1">
      <alignment shrinkToFit="0" vertical="bottom" wrapText="0"/>
    </xf>
    <xf borderId="4" fillId="0" fontId="11" numFmtId="0" xfId="0" applyBorder="1" applyFont="1"/>
    <xf borderId="0" fillId="0" fontId="2" numFmtId="0" xfId="0" applyAlignment="1" applyFont="1">
      <alignment shrinkToFit="0" vertical="bottom" wrapText="1"/>
    </xf>
    <xf borderId="1" fillId="6" fontId="7" numFmtId="0" xfId="0" applyAlignment="1" applyBorder="1" applyFill="1" applyFont="1">
      <alignment horizontal="center" shrinkToFit="0" vertical="center" wrapText="1"/>
    </xf>
    <xf borderId="1" fillId="0" fontId="9" numFmtId="165" xfId="0" applyAlignment="1" applyBorder="1" applyFont="1" applyNumberFormat="1">
      <alignment shrinkToFit="0" vertical="bottom" wrapText="0"/>
    </xf>
    <xf borderId="1" fillId="7" fontId="7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3">
    <dxf>
      <font>
        <b/>
        <sz val="10.0"/>
        <color rgb="FFC00000"/>
        <name val="Arial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8.0"/>
    <col customWidth="1" min="3" max="3" width="97.0"/>
    <col customWidth="1" min="4" max="4" width="18.71"/>
    <col customWidth="1" min="5" max="26" width="8.71"/>
  </cols>
  <sheetData>
    <row r="2">
      <c r="B2" s="1" t="s">
        <v>0</v>
      </c>
    </row>
    <row r="3">
      <c r="B3" s="2" t="s">
        <v>1</v>
      </c>
    </row>
    <row r="5" ht="30.0" customHeight="1">
      <c r="B5" s="3"/>
      <c r="C5" s="4"/>
    </row>
    <row r="6" ht="30.0" customHeight="1">
      <c r="B6" s="5" t="s">
        <v>2</v>
      </c>
    </row>
    <row r="7" ht="30.0" customHeight="1">
      <c r="B7" s="3" t="s">
        <v>3</v>
      </c>
      <c r="C7" s="4" t="s">
        <v>4</v>
      </c>
    </row>
    <row r="8" ht="30.0" customHeight="1">
      <c r="B8" s="3" t="s">
        <v>5</v>
      </c>
      <c r="C8" s="4" t="s">
        <v>6</v>
      </c>
      <c r="D8" s="4" t="s">
        <v>6</v>
      </c>
    </row>
    <row r="9" ht="30.0" customHeight="1">
      <c r="B9" s="3" t="s">
        <v>7</v>
      </c>
      <c r="C9" s="4" t="s">
        <v>8</v>
      </c>
    </row>
    <row r="10" ht="30.0" customHeight="1">
      <c r="B10" s="3" t="s">
        <v>9</v>
      </c>
      <c r="C10" s="4" t="s">
        <v>10</v>
      </c>
    </row>
    <row r="11" ht="30.0" customHeight="1">
      <c r="B11" s="3" t="s">
        <v>11</v>
      </c>
      <c r="C11" s="4" t="s">
        <v>12</v>
      </c>
    </row>
    <row r="12" ht="30.0" customHeight="1">
      <c r="B12" s="3" t="s">
        <v>13</v>
      </c>
      <c r="C12" s="4" t="s">
        <v>14</v>
      </c>
    </row>
    <row r="13" ht="30.0" customHeight="1">
      <c r="B13" s="3" t="s">
        <v>15</v>
      </c>
      <c r="C13" s="4" t="s">
        <v>16</v>
      </c>
    </row>
    <row r="14" ht="30.0" customHeight="1">
      <c r="B14" s="3"/>
      <c r="C14" s="4"/>
    </row>
    <row r="15" ht="30.0" customHeight="1">
      <c r="B15" s="5" t="s">
        <v>17</v>
      </c>
    </row>
    <row r="16" ht="30.0" customHeight="1">
      <c r="B16" s="3" t="s">
        <v>18</v>
      </c>
      <c r="C16" s="4" t="s">
        <v>19</v>
      </c>
    </row>
    <row r="17" ht="30.0" customHeight="1">
      <c r="B17" s="3" t="s">
        <v>20</v>
      </c>
      <c r="C17" s="4" t="s">
        <v>21</v>
      </c>
    </row>
    <row r="18" ht="30.0" customHeight="1">
      <c r="B18" s="3" t="s">
        <v>22</v>
      </c>
      <c r="C18" s="4" t="s">
        <v>23</v>
      </c>
    </row>
    <row r="19" ht="30.0" customHeight="1">
      <c r="B19" s="3" t="s">
        <v>24</v>
      </c>
      <c r="C19" s="4" t="s">
        <v>25</v>
      </c>
    </row>
    <row r="20" ht="30.0" customHeight="1">
      <c r="B20" s="3" t="s">
        <v>26</v>
      </c>
      <c r="C20" s="4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18.0"/>
    <col customWidth="1" min="4" max="4" width="4.0"/>
    <col customWidth="1" min="5" max="5" width="30.0"/>
    <col customWidth="1" min="6" max="6" width="18.0"/>
    <col customWidth="1" min="7" max="26" width="8.71"/>
  </cols>
  <sheetData>
    <row r="2">
      <c r="B2" s="1" t="s">
        <v>28</v>
      </c>
    </row>
    <row r="3">
      <c r="B3" s="2" t="s">
        <v>29</v>
      </c>
    </row>
    <row r="5">
      <c r="B5" s="6" t="s">
        <v>30</v>
      </c>
      <c r="C5" s="7">
        <f>COUNTIFS('Item Master'!$B$3:$B$302,"&lt;&gt;",'Item Master'!$O$3:$O$302,"Active")</f>
        <v>18</v>
      </c>
    </row>
    <row r="6">
      <c r="B6" s="6" t="s">
        <v>31</v>
      </c>
      <c r="C6" s="7">
        <f>SUMPRODUCT(('Item Master'!$B$3:$B$302&lt;&gt;"")*('Item Master'!$M$3:$M$302&lt;='Item Master'!$I$3:$I$302))</f>
        <v>0</v>
      </c>
    </row>
    <row r="7">
      <c r="B7" s="6" t="s">
        <v>32</v>
      </c>
      <c r="C7" s="8">
        <f>SUM('Item Master'!$N$3:$N$302)</f>
        <v>185500</v>
      </c>
    </row>
    <row r="8">
      <c r="B8" s="6" t="s">
        <v>33</v>
      </c>
      <c r="C8" s="7">
        <f>COUNTIF('Stock IN'!$C$3:$C$302,"&lt;&gt;")</f>
        <v>0</v>
      </c>
    </row>
    <row r="9">
      <c r="B9" s="6" t="s">
        <v>34</v>
      </c>
      <c r="C9" s="7">
        <f>COUNTIF('Stock OUT (Issue)'!$D$3:$D$302,"&lt;&gt;")</f>
        <v>0</v>
      </c>
    </row>
    <row r="11">
      <c r="B11" s="3" t="s">
        <v>35</v>
      </c>
    </row>
    <row r="12">
      <c r="B12" s="9" t="s">
        <v>36</v>
      </c>
      <c r="C12" s="9" t="s">
        <v>37</v>
      </c>
    </row>
    <row r="13">
      <c r="B13" s="10" t="s">
        <v>38</v>
      </c>
      <c r="C13" s="11">
        <f>SUM('Job-wise Issue Summary'!D3:D302)</f>
        <v>0</v>
      </c>
    </row>
    <row r="14">
      <c r="B14" s="10" t="s">
        <v>39</v>
      </c>
      <c r="C14" s="11">
        <f>SUM('Job-wise Issue Summary'!E3:E302)</f>
        <v>0</v>
      </c>
    </row>
    <row r="15">
      <c r="B15" s="10" t="s">
        <v>40</v>
      </c>
      <c r="C15" s="11">
        <f>SUM('Job-wise Issue Summary'!F3:F302)</f>
        <v>0</v>
      </c>
    </row>
    <row r="16">
      <c r="B16" s="10" t="s">
        <v>41</v>
      </c>
      <c r="C16" s="11">
        <f>SUM('Job-wise Issue Summary'!G3:G302)</f>
        <v>0</v>
      </c>
    </row>
    <row r="17">
      <c r="B17" s="10" t="s">
        <v>42</v>
      </c>
      <c r="C17" s="11">
        <f>SUM('Job-wise Issue Summary'!H3:H302)</f>
        <v>0</v>
      </c>
    </row>
    <row r="19">
      <c r="B19" s="2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2.0"/>
    <col customWidth="1" min="3" max="3" width="34.0"/>
    <col customWidth="1" min="4" max="4" width="22.0"/>
    <col customWidth="1" min="5" max="6" width="14.0"/>
    <col customWidth="1" min="7" max="7" width="30.0"/>
    <col customWidth="1" min="8" max="26" width="8.71"/>
  </cols>
  <sheetData>
    <row r="1">
      <c r="A1" s="3" t="s">
        <v>44</v>
      </c>
    </row>
    <row r="2">
      <c r="A2" s="12" t="s">
        <v>45</v>
      </c>
      <c r="B2" s="12" t="s">
        <v>36</v>
      </c>
      <c r="C2" s="12" t="s">
        <v>46</v>
      </c>
      <c r="D2" s="12" t="s">
        <v>47</v>
      </c>
      <c r="E2" s="12" t="s">
        <v>48</v>
      </c>
      <c r="F2" s="12" t="s">
        <v>49</v>
      </c>
      <c r="G2" s="12" t="s">
        <v>50</v>
      </c>
    </row>
    <row r="3">
      <c r="A3" s="10">
        <v>1.0</v>
      </c>
      <c r="B3" s="13" t="s">
        <v>38</v>
      </c>
      <c r="C3" s="13" t="s">
        <v>51</v>
      </c>
      <c r="D3" s="13" t="s">
        <v>52</v>
      </c>
      <c r="E3" s="13"/>
      <c r="F3" s="13" t="s">
        <v>53</v>
      </c>
      <c r="G3" s="13"/>
    </row>
    <row r="4">
      <c r="A4" s="10">
        <v>2.0</v>
      </c>
      <c r="B4" s="13" t="s">
        <v>39</v>
      </c>
      <c r="C4" s="13" t="s">
        <v>54</v>
      </c>
      <c r="D4" s="13" t="s">
        <v>55</v>
      </c>
      <c r="E4" s="13"/>
      <c r="F4" s="13" t="s">
        <v>53</v>
      </c>
      <c r="G4" s="13"/>
    </row>
    <row r="5">
      <c r="A5" s="10">
        <v>3.0</v>
      </c>
      <c r="B5" s="13" t="s">
        <v>40</v>
      </c>
      <c r="C5" s="13" t="s">
        <v>56</v>
      </c>
      <c r="D5" s="13" t="s">
        <v>57</v>
      </c>
      <c r="E5" s="13"/>
      <c r="F5" s="13" t="s">
        <v>53</v>
      </c>
      <c r="G5" s="13"/>
    </row>
    <row r="6">
      <c r="A6" s="10">
        <v>4.0</v>
      </c>
      <c r="B6" s="13" t="s">
        <v>41</v>
      </c>
      <c r="C6" s="13"/>
      <c r="D6" s="13"/>
      <c r="E6" s="13"/>
      <c r="F6" s="13" t="s">
        <v>53</v>
      </c>
      <c r="G6" s="13"/>
    </row>
    <row r="7">
      <c r="A7" s="10">
        <v>5.0</v>
      </c>
      <c r="B7" s="13" t="s">
        <v>42</v>
      </c>
      <c r="C7" s="13"/>
      <c r="D7" s="13"/>
      <c r="E7" s="13"/>
      <c r="F7" s="13" t="s">
        <v>53</v>
      </c>
      <c r="G7" s="13"/>
    </row>
    <row r="8">
      <c r="A8" s="14" t="str">
        <f t="shared" ref="A8:A40" si="1">IF(B8="","",ROW()-2)</f>
        <v/>
      </c>
      <c r="B8" s="14"/>
      <c r="C8" s="14"/>
      <c r="D8" s="14"/>
      <c r="E8" s="14"/>
      <c r="F8" s="14"/>
      <c r="G8" s="14"/>
    </row>
    <row r="9">
      <c r="A9" s="14" t="str">
        <f t="shared" si="1"/>
        <v/>
      </c>
      <c r="B9" s="14"/>
      <c r="C9" s="14"/>
      <c r="D9" s="14"/>
      <c r="E9" s="14"/>
      <c r="F9" s="14"/>
      <c r="G9" s="14"/>
    </row>
    <row r="10">
      <c r="A10" s="14" t="str">
        <f t="shared" si="1"/>
        <v/>
      </c>
      <c r="B10" s="14"/>
      <c r="C10" s="14"/>
      <c r="D10" s="14"/>
      <c r="E10" s="14"/>
      <c r="F10" s="14"/>
      <c r="G10" s="14"/>
    </row>
    <row r="11">
      <c r="A11" s="14" t="str">
        <f t="shared" si="1"/>
        <v/>
      </c>
      <c r="B11" s="14"/>
      <c r="C11" s="14"/>
      <c r="D11" s="14"/>
      <c r="E11" s="14"/>
      <c r="F11" s="14"/>
      <c r="G11" s="14"/>
    </row>
    <row r="12">
      <c r="A12" s="14" t="str">
        <f t="shared" si="1"/>
        <v/>
      </c>
      <c r="B12" s="14"/>
      <c r="C12" s="14"/>
      <c r="D12" s="14"/>
      <c r="E12" s="14"/>
      <c r="F12" s="14"/>
      <c r="G12" s="14"/>
    </row>
    <row r="13">
      <c r="A13" s="14" t="str">
        <f t="shared" si="1"/>
        <v/>
      </c>
      <c r="B13" s="14"/>
      <c r="C13" s="14"/>
      <c r="D13" s="14"/>
      <c r="E13" s="14"/>
      <c r="F13" s="14"/>
      <c r="G13" s="14"/>
    </row>
    <row r="14">
      <c r="A14" s="14" t="str">
        <f t="shared" si="1"/>
        <v/>
      </c>
      <c r="B14" s="14"/>
      <c r="C14" s="14"/>
      <c r="D14" s="14"/>
      <c r="E14" s="14"/>
      <c r="F14" s="14"/>
      <c r="G14" s="14"/>
    </row>
    <row r="15">
      <c r="A15" s="14" t="str">
        <f t="shared" si="1"/>
        <v/>
      </c>
      <c r="B15" s="14"/>
      <c r="C15" s="14"/>
      <c r="D15" s="14"/>
      <c r="E15" s="14"/>
      <c r="F15" s="14"/>
      <c r="G15" s="14"/>
    </row>
    <row r="16">
      <c r="A16" s="14" t="str">
        <f t="shared" si="1"/>
        <v/>
      </c>
      <c r="B16" s="14"/>
      <c r="C16" s="14"/>
      <c r="D16" s="14"/>
      <c r="E16" s="14"/>
      <c r="F16" s="14"/>
      <c r="G16" s="14"/>
    </row>
    <row r="17">
      <c r="A17" s="14" t="str">
        <f t="shared" si="1"/>
        <v/>
      </c>
      <c r="B17" s="14"/>
      <c r="C17" s="14"/>
      <c r="D17" s="14"/>
      <c r="E17" s="14"/>
      <c r="F17" s="14"/>
      <c r="G17" s="14"/>
    </row>
    <row r="18">
      <c r="A18" s="14" t="str">
        <f t="shared" si="1"/>
        <v/>
      </c>
      <c r="B18" s="14"/>
      <c r="C18" s="14"/>
      <c r="D18" s="14"/>
      <c r="E18" s="14"/>
      <c r="F18" s="14"/>
      <c r="G18" s="14"/>
    </row>
    <row r="19">
      <c r="A19" s="14" t="str">
        <f t="shared" si="1"/>
        <v/>
      </c>
      <c r="B19" s="14"/>
      <c r="C19" s="14"/>
      <c r="D19" s="14"/>
      <c r="E19" s="14"/>
      <c r="F19" s="14"/>
      <c r="G19" s="14"/>
    </row>
    <row r="20">
      <c r="A20" s="14" t="str">
        <f t="shared" si="1"/>
        <v/>
      </c>
      <c r="B20" s="14"/>
      <c r="C20" s="14"/>
      <c r="D20" s="14"/>
      <c r="E20" s="14"/>
      <c r="F20" s="14"/>
      <c r="G20" s="14"/>
    </row>
    <row r="21" ht="15.75" customHeight="1">
      <c r="A21" s="14" t="str">
        <f t="shared" si="1"/>
        <v/>
      </c>
      <c r="B21" s="14"/>
      <c r="C21" s="14"/>
      <c r="D21" s="14"/>
      <c r="E21" s="14"/>
      <c r="F21" s="14"/>
      <c r="G21" s="14"/>
    </row>
    <row r="22" ht="15.75" customHeight="1">
      <c r="A22" s="14" t="str">
        <f t="shared" si="1"/>
        <v/>
      </c>
      <c r="B22" s="14"/>
      <c r="C22" s="14"/>
      <c r="D22" s="14"/>
      <c r="E22" s="14"/>
      <c r="F22" s="14"/>
      <c r="G22" s="14"/>
    </row>
    <row r="23" ht="15.75" customHeight="1">
      <c r="A23" s="14" t="str">
        <f t="shared" si="1"/>
        <v/>
      </c>
      <c r="B23" s="14"/>
      <c r="C23" s="14"/>
      <c r="D23" s="14"/>
      <c r="E23" s="14"/>
      <c r="F23" s="14"/>
      <c r="G23" s="14"/>
    </row>
    <row r="24" ht="15.75" customHeight="1">
      <c r="A24" s="14" t="str">
        <f t="shared" si="1"/>
        <v/>
      </c>
      <c r="B24" s="14"/>
      <c r="C24" s="14"/>
      <c r="D24" s="14"/>
      <c r="E24" s="14"/>
      <c r="F24" s="14"/>
      <c r="G24" s="14"/>
    </row>
    <row r="25" ht="15.75" customHeight="1">
      <c r="A25" s="14" t="str">
        <f t="shared" si="1"/>
        <v/>
      </c>
      <c r="B25" s="14"/>
      <c r="C25" s="14"/>
      <c r="D25" s="14"/>
      <c r="E25" s="14"/>
      <c r="F25" s="14"/>
      <c r="G25" s="14"/>
    </row>
    <row r="26" ht="15.75" customHeight="1">
      <c r="A26" s="14" t="str">
        <f t="shared" si="1"/>
        <v/>
      </c>
      <c r="B26" s="14"/>
      <c r="C26" s="14"/>
      <c r="D26" s="14"/>
      <c r="E26" s="14"/>
      <c r="F26" s="14"/>
      <c r="G26" s="14"/>
    </row>
    <row r="27" ht="15.75" customHeight="1">
      <c r="A27" s="14" t="str">
        <f t="shared" si="1"/>
        <v/>
      </c>
      <c r="B27" s="14"/>
      <c r="C27" s="14"/>
      <c r="D27" s="14"/>
      <c r="E27" s="14"/>
      <c r="F27" s="14"/>
      <c r="G27" s="14"/>
    </row>
    <row r="28" ht="15.75" customHeight="1">
      <c r="A28" s="14" t="str">
        <f t="shared" si="1"/>
        <v/>
      </c>
      <c r="B28" s="14"/>
      <c r="C28" s="14"/>
      <c r="D28" s="14"/>
      <c r="E28" s="14"/>
      <c r="F28" s="14"/>
      <c r="G28" s="14"/>
    </row>
    <row r="29" ht="15.75" customHeight="1">
      <c r="A29" s="14" t="str">
        <f t="shared" si="1"/>
        <v/>
      </c>
      <c r="B29" s="14"/>
      <c r="C29" s="14"/>
      <c r="D29" s="14"/>
      <c r="E29" s="14"/>
      <c r="F29" s="14"/>
      <c r="G29" s="14"/>
    </row>
    <row r="30" ht="15.75" customHeight="1">
      <c r="A30" s="14" t="str">
        <f t="shared" si="1"/>
        <v/>
      </c>
      <c r="B30" s="14"/>
      <c r="C30" s="14"/>
      <c r="D30" s="14"/>
      <c r="E30" s="14"/>
      <c r="F30" s="14"/>
      <c r="G30" s="14"/>
    </row>
    <row r="31" ht="15.75" customHeight="1">
      <c r="A31" s="14" t="str">
        <f t="shared" si="1"/>
        <v/>
      </c>
      <c r="B31" s="14"/>
      <c r="C31" s="14"/>
      <c r="D31" s="14"/>
      <c r="E31" s="14"/>
      <c r="F31" s="14"/>
      <c r="G31" s="14"/>
    </row>
    <row r="32" ht="15.75" customHeight="1">
      <c r="A32" s="14" t="str">
        <f t="shared" si="1"/>
        <v/>
      </c>
      <c r="B32" s="14"/>
      <c r="C32" s="14"/>
      <c r="D32" s="14"/>
      <c r="E32" s="14"/>
      <c r="F32" s="14"/>
      <c r="G32" s="14"/>
    </row>
    <row r="33" ht="15.75" customHeight="1">
      <c r="A33" s="14" t="str">
        <f t="shared" si="1"/>
        <v/>
      </c>
      <c r="B33" s="14"/>
      <c r="C33" s="14"/>
      <c r="D33" s="14"/>
      <c r="E33" s="14"/>
      <c r="F33" s="14"/>
      <c r="G33" s="14"/>
    </row>
    <row r="34" ht="15.75" customHeight="1">
      <c r="A34" s="14" t="str">
        <f t="shared" si="1"/>
        <v/>
      </c>
      <c r="B34" s="14"/>
      <c r="C34" s="14"/>
      <c r="D34" s="14"/>
      <c r="E34" s="14"/>
      <c r="F34" s="14"/>
      <c r="G34" s="14"/>
    </row>
    <row r="35" ht="15.75" customHeight="1">
      <c r="A35" s="14" t="str">
        <f t="shared" si="1"/>
        <v/>
      </c>
      <c r="B35" s="14"/>
      <c r="C35" s="14"/>
      <c r="D35" s="14"/>
      <c r="E35" s="14"/>
      <c r="F35" s="14"/>
      <c r="G35" s="14"/>
    </row>
    <row r="36" ht="15.75" customHeight="1">
      <c r="A36" s="14" t="str">
        <f t="shared" si="1"/>
        <v/>
      </c>
      <c r="B36" s="14"/>
      <c r="C36" s="14"/>
      <c r="D36" s="14"/>
      <c r="E36" s="14"/>
      <c r="F36" s="14"/>
      <c r="G36" s="14"/>
    </row>
    <row r="37" ht="15.75" customHeight="1">
      <c r="A37" s="14" t="str">
        <f t="shared" si="1"/>
        <v/>
      </c>
      <c r="B37" s="14"/>
      <c r="C37" s="14"/>
      <c r="D37" s="14"/>
      <c r="E37" s="14"/>
      <c r="F37" s="14"/>
      <c r="G37" s="14"/>
    </row>
    <row r="38" ht="15.75" customHeight="1">
      <c r="A38" s="14" t="str">
        <f t="shared" si="1"/>
        <v/>
      </c>
      <c r="B38" s="14"/>
      <c r="C38" s="14"/>
      <c r="D38" s="14"/>
      <c r="E38" s="14"/>
      <c r="F38" s="14"/>
      <c r="G38" s="14"/>
    </row>
    <row r="39" ht="15.75" customHeight="1">
      <c r="A39" s="14" t="str">
        <f t="shared" si="1"/>
        <v/>
      </c>
      <c r="B39" s="14"/>
      <c r="C39" s="14"/>
      <c r="D39" s="14"/>
      <c r="E39" s="14"/>
      <c r="F39" s="14"/>
      <c r="G39" s="14"/>
    </row>
    <row r="40" ht="15.75" customHeight="1">
      <c r="A40" s="14" t="str">
        <f t="shared" si="1"/>
        <v/>
      </c>
      <c r="B40" s="14"/>
      <c r="C40" s="14"/>
      <c r="D40" s="14"/>
      <c r="E40" s="14"/>
      <c r="F40" s="14"/>
      <c r="G40" s="14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3:F40">
      <formula1>"Running,On Hold,Completed"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6.0"/>
    <col customWidth="1" min="2" max="2" width="13.0"/>
    <col customWidth="1" min="3" max="3" width="32.0"/>
    <col customWidth="1" min="4" max="6" width="16.0"/>
    <col customWidth="1" min="7" max="7" width="8.0"/>
    <col customWidth="1" min="8" max="12" width="10.0"/>
    <col customWidth="1" min="13" max="13" width="11.0"/>
    <col customWidth="1" min="14" max="14" width="13.0"/>
    <col customWidth="1" min="15" max="15" width="12.0"/>
    <col customWidth="1" min="16" max="16" width="14.0"/>
    <col customWidth="1" min="17" max="17" width="24.0"/>
    <col customWidth="1" min="18" max="18" width="8.71"/>
    <col customWidth="1" min="19" max="19" width="26.0"/>
    <col customWidth="1" min="20" max="20" width="16.0"/>
    <col customWidth="1" min="21" max="26" width="8.71"/>
  </cols>
  <sheetData>
    <row r="1">
      <c r="A1" s="3" t="s">
        <v>58</v>
      </c>
      <c r="S1" s="15" t="s">
        <v>59</v>
      </c>
    </row>
    <row r="2" ht="39.0" customHeight="1">
      <c r="A2" s="12" t="s">
        <v>45</v>
      </c>
      <c r="B2" s="12" t="s">
        <v>60</v>
      </c>
      <c r="C2" s="12" t="s">
        <v>61</v>
      </c>
      <c r="D2" s="12" t="s">
        <v>62</v>
      </c>
      <c r="E2" s="12" t="s">
        <v>63</v>
      </c>
      <c r="F2" s="12" t="s">
        <v>64</v>
      </c>
      <c r="G2" s="12" t="s">
        <v>65</v>
      </c>
      <c r="H2" s="12" t="s">
        <v>66</v>
      </c>
      <c r="I2" s="12" t="s">
        <v>67</v>
      </c>
      <c r="J2" s="12" t="s">
        <v>68</v>
      </c>
      <c r="K2" s="12" t="s">
        <v>69</v>
      </c>
      <c r="L2" s="12" t="s">
        <v>70</v>
      </c>
      <c r="M2" s="12" t="s">
        <v>71</v>
      </c>
      <c r="N2" s="12" t="s">
        <v>72</v>
      </c>
      <c r="O2" s="12" t="s">
        <v>49</v>
      </c>
      <c r="P2" s="12" t="s">
        <v>73</v>
      </c>
      <c r="Q2" s="12" t="s">
        <v>50</v>
      </c>
      <c r="S2" s="16" t="s">
        <v>74</v>
      </c>
      <c r="T2" s="17"/>
    </row>
    <row r="3">
      <c r="A3" s="14">
        <f t="shared" ref="A3:A302" si="1">IF(B3="","",ROW()-2)</f>
        <v>1</v>
      </c>
      <c r="B3" s="13" t="s">
        <v>75</v>
      </c>
      <c r="C3" s="13" t="s">
        <v>76</v>
      </c>
      <c r="D3" s="13" t="s">
        <v>77</v>
      </c>
      <c r="E3" s="13"/>
      <c r="F3" s="13" t="s">
        <v>78</v>
      </c>
      <c r="G3" s="13" t="s">
        <v>79</v>
      </c>
      <c r="H3" s="18">
        <v>20.0</v>
      </c>
      <c r="I3" s="18">
        <v>5.0</v>
      </c>
      <c r="J3" s="18">
        <v>180.0</v>
      </c>
      <c r="K3" s="19">
        <f>IF(B3="","",SUMIF('Stock IN'!$C$3:$C$302,B3,'Stock IN'!$F$3:$F$302))</f>
        <v>0</v>
      </c>
      <c r="L3" s="19">
        <f>IF(B3="","",SUMIF('Stock OUT (Issue)'!$D$3:$D$302,B3,'Stock OUT (Issue)'!$G$3:$G$302))</f>
        <v>0</v>
      </c>
      <c r="M3" s="19">
        <f t="shared" ref="M3:M302" si="2">IF(B3="","",H3+K3-L3)</f>
        <v>20</v>
      </c>
      <c r="N3" s="20">
        <f t="shared" ref="N3:N302" si="3">IF(B3="","",M3*J3)</f>
        <v>3600</v>
      </c>
      <c r="O3" s="13" t="s">
        <v>80</v>
      </c>
      <c r="P3" s="14"/>
      <c r="Q3" s="14"/>
      <c r="T3" s="21"/>
    </row>
    <row r="4">
      <c r="A4" s="14">
        <f t="shared" si="1"/>
        <v>2</v>
      </c>
      <c r="B4" s="13" t="s">
        <v>81</v>
      </c>
      <c r="C4" s="13" t="s">
        <v>82</v>
      </c>
      <c r="D4" s="13" t="s">
        <v>77</v>
      </c>
      <c r="E4" s="13"/>
      <c r="F4" s="13" t="s">
        <v>78</v>
      </c>
      <c r="G4" s="13" t="s">
        <v>79</v>
      </c>
      <c r="H4" s="18">
        <v>20.0</v>
      </c>
      <c r="I4" s="18">
        <v>5.0</v>
      </c>
      <c r="J4" s="18">
        <v>180.0</v>
      </c>
      <c r="K4" s="19">
        <f>IF(B4="","",SUMIF('Stock IN'!$C$3:$C$302,B4,'Stock IN'!$F$3:$F$302))</f>
        <v>0</v>
      </c>
      <c r="L4" s="19">
        <f>IF(B4="","",SUMIF('Stock OUT (Issue)'!$D$3:$D$302,B4,'Stock OUT (Issue)'!$G$3:$G$302))</f>
        <v>0</v>
      </c>
      <c r="M4" s="19">
        <f t="shared" si="2"/>
        <v>20</v>
      </c>
      <c r="N4" s="20">
        <f t="shared" si="3"/>
        <v>3600</v>
      </c>
      <c r="O4" s="13" t="s">
        <v>80</v>
      </c>
      <c r="P4" s="14"/>
      <c r="Q4" s="14"/>
      <c r="S4" s="2" t="s">
        <v>83</v>
      </c>
    </row>
    <row r="5" ht="15.0" customHeight="1">
      <c r="A5" s="14">
        <f t="shared" si="1"/>
        <v>3</v>
      </c>
      <c r="B5" s="13" t="s">
        <v>84</v>
      </c>
      <c r="C5" s="13" t="s">
        <v>85</v>
      </c>
      <c r="D5" s="13" t="s">
        <v>86</v>
      </c>
      <c r="E5" s="13"/>
      <c r="F5" s="13" t="s">
        <v>78</v>
      </c>
      <c r="G5" s="13" t="s">
        <v>79</v>
      </c>
      <c r="H5" s="18">
        <v>5.0</v>
      </c>
      <c r="I5" s="18">
        <v>2.0</v>
      </c>
      <c r="J5" s="18">
        <v>4500.0</v>
      </c>
      <c r="K5" s="19">
        <f>IF(B5="","",SUMIF('Stock IN'!$C$3:$C$302,B5,'Stock IN'!$F$3:$F$302))</f>
        <v>0</v>
      </c>
      <c r="L5" s="19">
        <f>IF(B5="","",SUMIF('Stock OUT (Issue)'!$D$3:$D$302,B5,'Stock OUT (Issue)'!$G$3:$G$302))</f>
        <v>0</v>
      </c>
      <c r="M5" s="19">
        <f t="shared" si="2"/>
        <v>5</v>
      </c>
      <c r="N5" s="20">
        <f t="shared" si="3"/>
        <v>22500</v>
      </c>
      <c r="O5" s="13" t="s">
        <v>80</v>
      </c>
      <c r="P5" s="14"/>
      <c r="Q5" s="14"/>
      <c r="S5" s="22" t="s">
        <v>87</v>
      </c>
    </row>
    <row r="6">
      <c r="A6" s="14">
        <f t="shared" si="1"/>
        <v>4</v>
      </c>
      <c r="B6" s="13" t="s">
        <v>88</v>
      </c>
      <c r="C6" s="13" t="s">
        <v>89</v>
      </c>
      <c r="D6" s="13" t="s">
        <v>86</v>
      </c>
      <c r="E6" s="13"/>
      <c r="F6" s="13" t="s">
        <v>90</v>
      </c>
      <c r="G6" s="13" t="s">
        <v>79</v>
      </c>
      <c r="H6" s="18">
        <v>10.0</v>
      </c>
      <c r="I6" s="18">
        <v>3.0</v>
      </c>
      <c r="J6" s="18">
        <v>1200.0</v>
      </c>
      <c r="K6" s="19">
        <f>IF(B6="","",SUMIF('Stock IN'!$C$3:$C$302,B6,'Stock IN'!$F$3:$F$302))</f>
        <v>0</v>
      </c>
      <c r="L6" s="19">
        <f>IF(B6="","",SUMIF('Stock OUT (Issue)'!$D$3:$D$302,B6,'Stock OUT (Issue)'!$G$3:$G$302))</f>
        <v>0</v>
      </c>
      <c r="M6" s="19">
        <f t="shared" si="2"/>
        <v>10</v>
      </c>
      <c r="N6" s="20">
        <f t="shared" si="3"/>
        <v>12000</v>
      </c>
      <c r="O6" s="13" t="s">
        <v>80</v>
      </c>
      <c r="P6" s="14"/>
      <c r="Q6" s="14"/>
    </row>
    <row r="7">
      <c r="A7" s="14">
        <f t="shared" si="1"/>
        <v>5</v>
      </c>
      <c r="B7" s="13" t="s">
        <v>91</v>
      </c>
      <c r="C7" s="13" t="s">
        <v>92</v>
      </c>
      <c r="D7" s="13" t="s">
        <v>93</v>
      </c>
      <c r="E7" s="13"/>
      <c r="F7" s="13" t="s">
        <v>90</v>
      </c>
      <c r="G7" s="13" t="s">
        <v>79</v>
      </c>
      <c r="H7" s="18">
        <v>15.0</v>
      </c>
      <c r="I7" s="18">
        <v>5.0</v>
      </c>
      <c r="J7" s="18">
        <v>220.0</v>
      </c>
      <c r="K7" s="19">
        <f>IF(B7="","",SUMIF('Stock IN'!$C$3:$C$302,B7,'Stock IN'!$F$3:$F$302))</f>
        <v>0</v>
      </c>
      <c r="L7" s="19">
        <f>IF(B7="","",SUMIF('Stock OUT (Issue)'!$D$3:$D$302,B7,'Stock OUT (Issue)'!$G$3:$G$302))</f>
        <v>0</v>
      </c>
      <c r="M7" s="19">
        <f t="shared" si="2"/>
        <v>15</v>
      </c>
      <c r="N7" s="20">
        <f t="shared" si="3"/>
        <v>3300</v>
      </c>
      <c r="O7" s="13" t="s">
        <v>80</v>
      </c>
      <c r="P7" s="14"/>
      <c r="Q7" s="14"/>
    </row>
    <row r="8">
      <c r="A8" s="14">
        <f t="shared" si="1"/>
        <v>6</v>
      </c>
      <c r="B8" s="13" t="s">
        <v>94</v>
      </c>
      <c r="C8" s="13" t="s">
        <v>95</v>
      </c>
      <c r="D8" s="13" t="s">
        <v>96</v>
      </c>
      <c r="E8" s="13"/>
      <c r="F8" s="13" t="s">
        <v>97</v>
      </c>
      <c r="G8" s="13" t="s">
        <v>98</v>
      </c>
      <c r="H8" s="18">
        <v>500.0</v>
      </c>
      <c r="I8" s="18">
        <v>100.0</v>
      </c>
      <c r="J8" s="18">
        <v>42.0</v>
      </c>
      <c r="K8" s="19">
        <f>IF(B8="","",SUMIF('Stock IN'!$C$3:$C$302,B8,'Stock IN'!$F$3:$F$302))</f>
        <v>0</v>
      </c>
      <c r="L8" s="19">
        <f>IF(B8="","",SUMIF('Stock OUT (Issue)'!$D$3:$D$302,B8,'Stock OUT (Issue)'!$G$3:$G$302))</f>
        <v>0</v>
      </c>
      <c r="M8" s="19">
        <f t="shared" si="2"/>
        <v>500</v>
      </c>
      <c r="N8" s="20">
        <f t="shared" si="3"/>
        <v>21000</v>
      </c>
      <c r="O8" s="13" t="s">
        <v>80</v>
      </c>
      <c r="P8" s="14"/>
      <c r="Q8" s="14"/>
    </row>
    <row r="9">
      <c r="A9" s="14">
        <f t="shared" si="1"/>
        <v>7</v>
      </c>
      <c r="B9" s="13" t="s">
        <v>99</v>
      </c>
      <c r="C9" s="13" t="s">
        <v>100</v>
      </c>
      <c r="D9" s="13" t="s">
        <v>96</v>
      </c>
      <c r="E9" s="13"/>
      <c r="F9" s="13" t="s">
        <v>97</v>
      </c>
      <c r="G9" s="13" t="s">
        <v>98</v>
      </c>
      <c r="H9" s="18">
        <v>300.0</v>
      </c>
      <c r="I9" s="18">
        <v>100.0</v>
      </c>
      <c r="J9" s="18">
        <v>65.0</v>
      </c>
      <c r="K9" s="19">
        <f>IF(B9="","",SUMIF('Stock IN'!$C$3:$C$302,B9,'Stock IN'!$F$3:$F$302))</f>
        <v>0</v>
      </c>
      <c r="L9" s="19">
        <f>IF(B9="","",SUMIF('Stock OUT (Issue)'!$D$3:$D$302,B9,'Stock OUT (Issue)'!$G$3:$G$302))</f>
        <v>0</v>
      </c>
      <c r="M9" s="19">
        <f t="shared" si="2"/>
        <v>300</v>
      </c>
      <c r="N9" s="20">
        <f t="shared" si="3"/>
        <v>19500</v>
      </c>
      <c r="O9" s="13" t="s">
        <v>80</v>
      </c>
      <c r="P9" s="14"/>
      <c r="Q9" s="14"/>
    </row>
    <row r="10">
      <c r="A10" s="14">
        <f t="shared" si="1"/>
        <v>8</v>
      </c>
      <c r="B10" s="13" t="s">
        <v>101</v>
      </c>
      <c r="C10" s="13" t="s">
        <v>102</v>
      </c>
      <c r="D10" s="13" t="s">
        <v>103</v>
      </c>
      <c r="E10" s="13"/>
      <c r="F10" s="13" t="s">
        <v>104</v>
      </c>
      <c r="G10" s="13" t="s">
        <v>98</v>
      </c>
      <c r="H10" s="18">
        <v>400.0</v>
      </c>
      <c r="I10" s="18">
        <v>100.0</v>
      </c>
      <c r="J10" s="18">
        <v>18.0</v>
      </c>
      <c r="K10" s="19">
        <f>IF(B10="","",SUMIF('Stock IN'!$C$3:$C$302,B10,'Stock IN'!$F$3:$F$302))</f>
        <v>0</v>
      </c>
      <c r="L10" s="19">
        <f>IF(B10="","",SUMIF('Stock OUT (Issue)'!$D$3:$D$302,B10,'Stock OUT (Issue)'!$G$3:$G$302))</f>
        <v>0</v>
      </c>
      <c r="M10" s="19">
        <f t="shared" si="2"/>
        <v>400</v>
      </c>
      <c r="N10" s="20">
        <f t="shared" si="3"/>
        <v>7200</v>
      </c>
      <c r="O10" s="13" t="s">
        <v>80</v>
      </c>
      <c r="P10" s="14"/>
      <c r="Q10" s="14"/>
    </row>
    <row r="11">
      <c r="A11" s="14">
        <f t="shared" si="1"/>
        <v>9</v>
      </c>
      <c r="B11" s="13" t="s">
        <v>105</v>
      </c>
      <c r="C11" s="13" t="s">
        <v>106</v>
      </c>
      <c r="D11" s="13" t="s">
        <v>107</v>
      </c>
      <c r="E11" s="13"/>
      <c r="F11" s="13" t="s">
        <v>108</v>
      </c>
      <c r="G11" s="13" t="s">
        <v>79</v>
      </c>
      <c r="H11" s="18">
        <v>100.0</v>
      </c>
      <c r="I11" s="18">
        <v>20.0</v>
      </c>
      <c r="J11" s="18">
        <v>8.0</v>
      </c>
      <c r="K11" s="19">
        <f>IF(B11="","",SUMIF('Stock IN'!$C$3:$C$302,B11,'Stock IN'!$F$3:$F$302))</f>
        <v>0</v>
      </c>
      <c r="L11" s="19">
        <f>IF(B11="","",SUMIF('Stock OUT (Issue)'!$D$3:$D$302,B11,'Stock OUT (Issue)'!$G$3:$G$302))</f>
        <v>0</v>
      </c>
      <c r="M11" s="19">
        <f t="shared" si="2"/>
        <v>100</v>
      </c>
      <c r="N11" s="20">
        <f t="shared" si="3"/>
        <v>800</v>
      </c>
      <c r="O11" s="13" t="s">
        <v>80</v>
      </c>
      <c r="P11" s="14"/>
      <c r="Q11" s="14"/>
    </row>
    <row r="12">
      <c r="A12" s="14">
        <f t="shared" si="1"/>
        <v>10</v>
      </c>
      <c r="B12" s="13" t="s">
        <v>109</v>
      </c>
      <c r="C12" s="13" t="s">
        <v>110</v>
      </c>
      <c r="D12" s="13" t="s">
        <v>107</v>
      </c>
      <c r="E12" s="13"/>
      <c r="F12" s="13" t="s">
        <v>108</v>
      </c>
      <c r="G12" s="13" t="s">
        <v>79</v>
      </c>
      <c r="H12" s="18">
        <v>500.0</v>
      </c>
      <c r="I12" s="18">
        <v>100.0</v>
      </c>
      <c r="J12" s="18">
        <v>2.0</v>
      </c>
      <c r="K12" s="19">
        <f>IF(B12="","",SUMIF('Stock IN'!$C$3:$C$302,B12,'Stock IN'!$F$3:$F$302))</f>
        <v>0</v>
      </c>
      <c r="L12" s="19">
        <f>IF(B12="","",SUMIF('Stock OUT (Issue)'!$D$3:$D$302,B12,'Stock OUT (Issue)'!$G$3:$G$302))</f>
        <v>0</v>
      </c>
      <c r="M12" s="19">
        <f t="shared" si="2"/>
        <v>500</v>
      </c>
      <c r="N12" s="20">
        <f t="shared" si="3"/>
        <v>1000</v>
      </c>
      <c r="O12" s="13" t="s">
        <v>80</v>
      </c>
      <c r="P12" s="14"/>
      <c r="Q12" s="14"/>
    </row>
    <row r="13">
      <c r="A13" s="14">
        <f t="shared" si="1"/>
        <v>11</v>
      </c>
      <c r="B13" s="13" t="s">
        <v>111</v>
      </c>
      <c r="C13" s="13" t="s">
        <v>112</v>
      </c>
      <c r="D13" s="13" t="s">
        <v>113</v>
      </c>
      <c r="E13" s="13"/>
      <c r="F13" s="13" t="s">
        <v>114</v>
      </c>
      <c r="G13" s="13" t="s">
        <v>79</v>
      </c>
      <c r="H13" s="18">
        <v>500.0</v>
      </c>
      <c r="I13" s="18">
        <v>100.0</v>
      </c>
      <c r="J13" s="18">
        <v>3.0</v>
      </c>
      <c r="K13" s="19">
        <f>IF(B13="","",SUMIF('Stock IN'!$C$3:$C$302,B13,'Stock IN'!$F$3:$F$302))</f>
        <v>0</v>
      </c>
      <c r="L13" s="19">
        <f>IF(B13="","",SUMIF('Stock OUT (Issue)'!$D$3:$D$302,B13,'Stock OUT (Issue)'!$G$3:$G$302))</f>
        <v>0</v>
      </c>
      <c r="M13" s="19">
        <f t="shared" si="2"/>
        <v>500</v>
      </c>
      <c r="N13" s="20">
        <f t="shared" si="3"/>
        <v>1500</v>
      </c>
      <c r="O13" s="13" t="s">
        <v>80</v>
      </c>
      <c r="P13" s="14"/>
      <c r="Q13" s="14"/>
    </row>
    <row r="14">
      <c r="A14" s="14">
        <f t="shared" si="1"/>
        <v>12</v>
      </c>
      <c r="B14" s="13" t="s">
        <v>115</v>
      </c>
      <c r="C14" s="13" t="s">
        <v>116</v>
      </c>
      <c r="D14" s="13" t="s">
        <v>113</v>
      </c>
      <c r="E14" s="13"/>
      <c r="F14" s="13" t="s">
        <v>114</v>
      </c>
      <c r="G14" s="13" t="s">
        <v>79</v>
      </c>
      <c r="H14" s="18">
        <v>500.0</v>
      </c>
      <c r="I14" s="18">
        <v>100.0</v>
      </c>
      <c r="J14" s="18">
        <v>1.0</v>
      </c>
      <c r="K14" s="19">
        <f>IF(B14="","",SUMIF('Stock IN'!$C$3:$C$302,B14,'Stock IN'!$F$3:$F$302))</f>
        <v>0</v>
      </c>
      <c r="L14" s="19">
        <f>IF(B14="","",SUMIF('Stock OUT (Issue)'!$D$3:$D$302,B14,'Stock OUT (Issue)'!$G$3:$G$302))</f>
        <v>0</v>
      </c>
      <c r="M14" s="19">
        <f t="shared" si="2"/>
        <v>500</v>
      </c>
      <c r="N14" s="20">
        <f t="shared" si="3"/>
        <v>500</v>
      </c>
      <c r="O14" s="13" t="s">
        <v>80</v>
      </c>
      <c r="P14" s="14"/>
      <c r="Q14" s="14"/>
    </row>
    <row r="15">
      <c r="A15" s="14">
        <f t="shared" si="1"/>
        <v>13</v>
      </c>
      <c r="B15" s="13" t="s">
        <v>117</v>
      </c>
      <c r="C15" s="13" t="s">
        <v>118</v>
      </c>
      <c r="D15" s="13" t="s">
        <v>119</v>
      </c>
      <c r="E15" s="13"/>
      <c r="F15" s="13" t="s">
        <v>120</v>
      </c>
      <c r="G15" s="13" t="s">
        <v>79</v>
      </c>
      <c r="H15" s="18">
        <v>200.0</v>
      </c>
      <c r="I15" s="18">
        <v>50.0</v>
      </c>
      <c r="J15" s="18">
        <v>15.0</v>
      </c>
      <c r="K15" s="19">
        <f>IF(B15="","",SUMIF('Stock IN'!$C$3:$C$302,B15,'Stock IN'!$F$3:$F$302))</f>
        <v>0</v>
      </c>
      <c r="L15" s="19">
        <f>IF(B15="","",SUMIF('Stock OUT (Issue)'!$D$3:$D$302,B15,'Stock OUT (Issue)'!$G$3:$G$302))</f>
        <v>0</v>
      </c>
      <c r="M15" s="19">
        <f t="shared" si="2"/>
        <v>200</v>
      </c>
      <c r="N15" s="20">
        <f t="shared" si="3"/>
        <v>3000</v>
      </c>
      <c r="O15" s="13" t="s">
        <v>80</v>
      </c>
      <c r="P15" s="14"/>
      <c r="Q15" s="14"/>
    </row>
    <row r="16">
      <c r="A16" s="14">
        <f t="shared" si="1"/>
        <v>14</v>
      </c>
      <c r="B16" s="13" t="s">
        <v>121</v>
      </c>
      <c r="C16" s="13" t="s">
        <v>122</v>
      </c>
      <c r="D16" s="13" t="s">
        <v>86</v>
      </c>
      <c r="E16" s="13"/>
      <c r="F16" s="13" t="s">
        <v>123</v>
      </c>
      <c r="G16" s="13" t="s">
        <v>79</v>
      </c>
      <c r="H16" s="18">
        <v>3.0</v>
      </c>
      <c r="I16" s="18">
        <v>1.0</v>
      </c>
      <c r="J16" s="18">
        <v>8500.0</v>
      </c>
      <c r="K16" s="19">
        <f>IF(B16="","",SUMIF('Stock IN'!$C$3:$C$302,B16,'Stock IN'!$F$3:$F$302))</f>
        <v>0</v>
      </c>
      <c r="L16" s="19">
        <f>IF(B16="","",SUMIF('Stock OUT (Issue)'!$D$3:$D$302,B16,'Stock OUT (Issue)'!$G$3:$G$302))</f>
        <v>0</v>
      </c>
      <c r="M16" s="19">
        <f t="shared" si="2"/>
        <v>3</v>
      </c>
      <c r="N16" s="20">
        <f t="shared" si="3"/>
        <v>25500</v>
      </c>
      <c r="O16" s="13" t="s">
        <v>80</v>
      </c>
      <c r="P16" s="14"/>
      <c r="Q16" s="14"/>
    </row>
    <row r="17">
      <c r="A17" s="14">
        <f t="shared" si="1"/>
        <v>15</v>
      </c>
      <c r="B17" s="13" t="s">
        <v>124</v>
      </c>
      <c r="C17" s="13" t="s">
        <v>125</v>
      </c>
      <c r="D17" s="13" t="s">
        <v>86</v>
      </c>
      <c r="E17" s="13"/>
      <c r="F17" s="13" t="s">
        <v>126</v>
      </c>
      <c r="G17" s="13" t="s">
        <v>79</v>
      </c>
      <c r="H17" s="18">
        <v>2.0</v>
      </c>
      <c r="I17" s="18">
        <v>1.0</v>
      </c>
      <c r="J17" s="18">
        <v>15000.0</v>
      </c>
      <c r="K17" s="19">
        <f>IF(B17="","",SUMIF('Stock IN'!$C$3:$C$302,B17,'Stock IN'!$F$3:$F$302))</f>
        <v>0</v>
      </c>
      <c r="L17" s="19">
        <f>IF(B17="","",SUMIF('Stock OUT (Issue)'!$D$3:$D$302,B17,'Stock OUT (Issue)'!$G$3:$G$302))</f>
        <v>0</v>
      </c>
      <c r="M17" s="19">
        <f t="shared" si="2"/>
        <v>2</v>
      </c>
      <c r="N17" s="20">
        <f t="shared" si="3"/>
        <v>30000</v>
      </c>
      <c r="O17" s="13" t="s">
        <v>80</v>
      </c>
      <c r="P17" s="14"/>
      <c r="Q17" s="14"/>
    </row>
    <row r="18">
      <c r="A18" s="14">
        <f t="shared" si="1"/>
        <v>16</v>
      </c>
      <c r="B18" s="13" t="s">
        <v>127</v>
      </c>
      <c r="C18" s="13" t="s">
        <v>128</v>
      </c>
      <c r="D18" s="13" t="s">
        <v>113</v>
      </c>
      <c r="E18" s="13"/>
      <c r="F18" s="13" t="s">
        <v>129</v>
      </c>
      <c r="G18" s="13" t="s">
        <v>98</v>
      </c>
      <c r="H18" s="18">
        <v>40.0</v>
      </c>
      <c r="I18" s="18">
        <v>10.0</v>
      </c>
      <c r="J18" s="18">
        <v>650.0</v>
      </c>
      <c r="K18" s="19">
        <f>IF(B18="","",SUMIF('Stock IN'!$C$3:$C$302,B18,'Stock IN'!$F$3:$F$302))</f>
        <v>0</v>
      </c>
      <c r="L18" s="19">
        <f>IF(B18="","",SUMIF('Stock OUT (Issue)'!$D$3:$D$302,B18,'Stock OUT (Issue)'!$G$3:$G$302))</f>
        <v>0</v>
      </c>
      <c r="M18" s="19">
        <f t="shared" si="2"/>
        <v>40</v>
      </c>
      <c r="N18" s="20">
        <f t="shared" si="3"/>
        <v>26000</v>
      </c>
      <c r="O18" s="13" t="s">
        <v>80</v>
      </c>
      <c r="P18" s="14"/>
      <c r="Q18" s="14"/>
    </row>
    <row r="19">
      <c r="A19" s="14">
        <f t="shared" si="1"/>
        <v>17</v>
      </c>
      <c r="B19" s="13" t="s">
        <v>130</v>
      </c>
      <c r="C19" s="13" t="s">
        <v>131</v>
      </c>
      <c r="D19" s="13" t="s">
        <v>132</v>
      </c>
      <c r="E19" s="13"/>
      <c r="F19" s="13" t="s">
        <v>133</v>
      </c>
      <c r="G19" s="13" t="s">
        <v>79</v>
      </c>
      <c r="H19" s="18">
        <v>60.0</v>
      </c>
      <c r="I19" s="18">
        <v>15.0</v>
      </c>
      <c r="J19" s="18">
        <v>45.0</v>
      </c>
      <c r="K19" s="19">
        <f>IF(B19="","",SUMIF('Stock IN'!$C$3:$C$302,B19,'Stock IN'!$F$3:$F$302))</f>
        <v>0</v>
      </c>
      <c r="L19" s="19">
        <f>IF(B19="","",SUMIF('Stock OUT (Issue)'!$D$3:$D$302,B19,'Stock OUT (Issue)'!$G$3:$G$302))</f>
        <v>0</v>
      </c>
      <c r="M19" s="19">
        <f t="shared" si="2"/>
        <v>60</v>
      </c>
      <c r="N19" s="20">
        <f t="shared" si="3"/>
        <v>2700</v>
      </c>
      <c r="O19" s="13" t="s">
        <v>80</v>
      </c>
      <c r="P19" s="14"/>
      <c r="Q19" s="14"/>
    </row>
    <row r="20">
      <c r="A20" s="14">
        <f t="shared" si="1"/>
        <v>18</v>
      </c>
      <c r="B20" s="13" t="s">
        <v>134</v>
      </c>
      <c r="C20" s="13" t="s">
        <v>135</v>
      </c>
      <c r="D20" s="13" t="s">
        <v>113</v>
      </c>
      <c r="E20" s="13"/>
      <c r="F20" s="13" t="s">
        <v>136</v>
      </c>
      <c r="G20" s="13" t="s">
        <v>79</v>
      </c>
      <c r="H20" s="18">
        <v>150.0</v>
      </c>
      <c r="I20" s="18">
        <v>30.0</v>
      </c>
      <c r="J20" s="18">
        <v>12.0</v>
      </c>
      <c r="K20" s="19">
        <f>IF(B20="","",SUMIF('Stock IN'!$C$3:$C$302,B20,'Stock IN'!$F$3:$F$302))</f>
        <v>0</v>
      </c>
      <c r="L20" s="19">
        <f>IF(B20="","",SUMIF('Stock OUT (Issue)'!$D$3:$D$302,B20,'Stock OUT (Issue)'!$G$3:$G$302))</f>
        <v>0</v>
      </c>
      <c r="M20" s="19">
        <f t="shared" si="2"/>
        <v>150</v>
      </c>
      <c r="N20" s="20">
        <f t="shared" si="3"/>
        <v>1800</v>
      </c>
      <c r="O20" s="13" t="s">
        <v>80</v>
      </c>
      <c r="P20" s="14"/>
      <c r="Q20" s="14"/>
    </row>
    <row r="21" ht="15.75" customHeight="1">
      <c r="A21" s="14" t="str">
        <f t="shared" si="1"/>
        <v/>
      </c>
      <c r="B21" s="14"/>
      <c r="C21" s="14"/>
      <c r="D21" s="14"/>
      <c r="E21" s="14"/>
      <c r="F21" s="14"/>
      <c r="G21" s="14"/>
      <c r="H21" s="19"/>
      <c r="I21" s="19"/>
      <c r="J21" s="19"/>
      <c r="K21" s="19" t="str">
        <f>IF(B21="","",SUMIF('Stock IN'!$C$3:$C$302,B21,'Stock IN'!$F$3:$F$302))</f>
        <v/>
      </c>
      <c r="L21" s="19" t="str">
        <f>IF(B21="","",SUMIF('Stock OUT (Issue)'!$D$3:$D$302,B21,'Stock OUT (Issue)'!$G$3:$G$302))</f>
        <v/>
      </c>
      <c r="M21" s="19" t="str">
        <f t="shared" si="2"/>
        <v/>
      </c>
      <c r="N21" s="20" t="str">
        <f t="shared" si="3"/>
        <v/>
      </c>
      <c r="O21" s="14" t="str">
        <f t="shared" ref="O21:O302" si="4">IF(B21="","","Active")</f>
        <v/>
      </c>
      <c r="P21" s="14"/>
      <c r="Q21" s="14"/>
    </row>
    <row r="22" ht="15.75" customHeight="1">
      <c r="A22" s="14" t="str">
        <f t="shared" si="1"/>
        <v/>
      </c>
      <c r="B22" s="14"/>
      <c r="C22" s="14"/>
      <c r="D22" s="14"/>
      <c r="E22" s="14"/>
      <c r="F22" s="14"/>
      <c r="G22" s="14"/>
      <c r="H22" s="19"/>
      <c r="I22" s="19"/>
      <c r="J22" s="19"/>
      <c r="K22" s="19" t="str">
        <f>IF(B22="","",SUMIF('Stock IN'!$C$3:$C$302,B22,'Stock IN'!$F$3:$F$302))</f>
        <v/>
      </c>
      <c r="L22" s="19" t="str">
        <f>IF(B22="","",SUMIF('Stock OUT (Issue)'!$D$3:$D$302,B22,'Stock OUT (Issue)'!$G$3:$G$302))</f>
        <v/>
      </c>
      <c r="M22" s="19" t="str">
        <f t="shared" si="2"/>
        <v/>
      </c>
      <c r="N22" s="20" t="str">
        <f t="shared" si="3"/>
        <v/>
      </c>
      <c r="O22" s="14" t="str">
        <f t="shared" si="4"/>
        <v/>
      </c>
      <c r="P22" s="14"/>
      <c r="Q22" s="14"/>
    </row>
    <row r="23" ht="15.75" customHeight="1">
      <c r="A23" s="14" t="str">
        <f t="shared" si="1"/>
        <v/>
      </c>
      <c r="B23" s="14"/>
      <c r="C23" s="14"/>
      <c r="D23" s="14"/>
      <c r="E23" s="14"/>
      <c r="F23" s="14"/>
      <c r="G23" s="14"/>
      <c r="H23" s="19"/>
      <c r="I23" s="19"/>
      <c r="J23" s="19"/>
      <c r="K23" s="19" t="str">
        <f>IF(B23="","",SUMIF('Stock IN'!$C$3:$C$302,B23,'Stock IN'!$F$3:$F$302))</f>
        <v/>
      </c>
      <c r="L23" s="19" t="str">
        <f>IF(B23="","",SUMIF('Stock OUT (Issue)'!$D$3:$D$302,B23,'Stock OUT (Issue)'!$G$3:$G$302))</f>
        <v/>
      </c>
      <c r="M23" s="19" t="str">
        <f t="shared" si="2"/>
        <v/>
      </c>
      <c r="N23" s="20" t="str">
        <f t="shared" si="3"/>
        <v/>
      </c>
      <c r="O23" s="14" t="str">
        <f t="shared" si="4"/>
        <v/>
      </c>
      <c r="P23" s="14"/>
      <c r="Q23" s="14"/>
    </row>
    <row r="24" ht="15.75" customHeight="1">
      <c r="A24" s="14" t="str">
        <f t="shared" si="1"/>
        <v/>
      </c>
      <c r="B24" s="14"/>
      <c r="C24" s="14"/>
      <c r="D24" s="14"/>
      <c r="E24" s="14"/>
      <c r="F24" s="14"/>
      <c r="G24" s="14"/>
      <c r="H24" s="19"/>
      <c r="I24" s="19"/>
      <c r="J24" s="19"/>
      <c r="K24" s="19" t="str">
        <f>IF(B24="","",SUMIF('Stock IN'!$C$3:$C$302,B24,'Stock IN'!$F$3:$F$302))</f>
        <v/>
      </c>
      <c r="L24" s="19" t="str">
        <f>IF(B24="","",SUMIF('Stock OUT (Issue)'!$D$3:$D$302,B24,'Stock OUT (Issue)'!$G$3:$G$302))</f>
        <v/>
      </c>
      <c r="M24" s="19" t="str">
        <f t="shared" si="2"/>
        <v/>
      </c>
      <c r="N24" s="20" t="str">
        <f t="shared" si="3"/>
        <v/>
      </c>
      <c r="O24" s="14" t="str">
        <f t="shared" si="4"/>
        <v/>
      </c>
      <c r="P24" s="14"/>
      <c r="Q24" s="14"/>
    </row>
    <row r="25" ht="15.75" customHeight="1">
      <c r="A25" s="14" t="str">
        <f t="shared" si="1"/>
        <v/>
      </c>
      <c r="B25" s="14"/>
      <c r="C25" s="14"/>
      <c r="D25" s="14"/>
      <c r="E25" s="14"/>
      <c r="F25" s="14"/>
      <c r="G25" s="14"/>
      <c r="H25" s="19"/>
      <c r="I25" s="19"/>
      <c r="J25" s="19"/>
      <c r="K25" s="19" t="str">
        <f>IF(B25="","",SUMIF('Stock IN'!$C$3:$C$302,B25,'Stock IN'!$F$3:$F$302))</f>
        <v/>
      </c>
      <c r="L25" s="19" t="str">
        <f>IF(B25="","",SUMIF('Stock OUT (Issue)'!$D$3:$D$302,B25,'Stock OUT (Issue)'!$G$3:$G$302))</f>
        <v/>
      </c>
      <c r="M25" s="19" t="str">
        <f t="shared" si="2"/>
        <v/>
      </c>
      <c r="N25" s="20" t="str">
        <f t="shared" si="3"/>
        <v/>
      </c>
      <c r="O25" s="14" t="str">
        <f t="shared" si="4"/>
        <v/>
      </c>
      <c r="P25" s="14"/>
      <c r="Q25" s="14"/>
    </row>
    <row r="26" ht="15.75" customHeight="1">
      <c r="A26" s="14" t="str">
        <f t="shared" si="1"/>
        <v/>
      </c>
      <c r="B26" s="14"/>
      <c r="C26" s="14"/>
      <c r="D26" s="14"/>
      <c r="E26" s="14"/>
      <c r="F26" s="14"/>
      <c r="G26" s="14"/>
      <c r="H26" s="19"/>
      <c r="I26" s="19"/>
      <c r="J26" s="19"/>
      <c r="K26" s="19" t="str">
        <f>IF(B26="","",SUMIF('Stock IN'!$C$3:$C$302,B26,'Stock IN'!$F$3:$F$302))</f>
        <v/>
      </c>
      <c r="L26" s="19" t="str">
        <f>IF(B26="","",SUMIF('Stock OUT (Issue)'!$D$3:$D$302,B26,'Stock OUT (Issue)'!$G$3:$G$302))</f>
        <v/>
      </c>
      <c r="M26" s="19" t="str">
        <f t="shared" si="2"/>
        <v/>
      </c>
      <c r="N26" s="20" t="str">
        <f t="shared" si="3"/>
        <v/>
      </c>
      <c r="O26" s="14" t="str">
        <f t="shared" si="4"/>
        <v/>
      </c>
      <c r="P26" s="14"/>
      <c r="Q26" s="14"/>
    </row>
    <row r="27" ht="15.75" customHeight="1">
      <c r="A27" s="14" t="str">
        <f t="shared" si="1"/>
        <v/>
      </c>
      <c r="B27" s="14"/>
      <c r="C27" s="14"/>
      <c r="D27" s="14"/>
      <c r="E27" s="14"/>
      <c r="F27" s="14"/>
      <c r="G27" s="14"/>
      <c r="H27" s="19"/>
      <c r="I27" s="19"/>
      <c r="J27" s="19"/>
      <c r="K27" s="19" t="str">
        <f>IF(B27="","",SUMIF('Stock IN'!$C$3:$C$302,B27,'Stock IN'!$F$3:$F$302))</f>
        <v/>
      </c>
      <c r="L27" s="19" t="str">
        <f>IF(B27="","",SUMIF('Stock OUT (Issue)'!$D$3:$D$302,B27,'Stock OUT (Issue)'!$G$3:$G$302))</f>
        <v/>
      </c>
      <c r="M27" s="19" t="str">
        <f t="shared" si="2"/>
        <v/>
      </c>
      <c r="N27" s="20" t="str">
        <f t="shared" si="3"/>
        <v/>
      </c>
      <c r="O27" s="14" t="str">
        <f t="shared" si="4"/>
        <v/>
      </c>
      <c r="P27" s="14"/>
      <c r="Q27" s="14"/>
    </row>
    <row r="28" ht="15.75" customHeight="1">
      <c r="A28" s="14" t="str">
        <f t="shared" si="1"/>
        <v/>
      </c>
      <c r="B28" s="14"/>
      <c r="C28" s="14"/>
      <c r="D28" s="14"/>
      <c r="E28" s="14"/>
      <c r="F28" s="14"/>
      <c r="G28" s="14"/>
      <c r="H28" s="19"/>
      <c r="I28" s="19"/>
      <c r="J28" s="19"/>
      <c r="K28" s="19" t="str">
        <f>IF(B28="","",SUMIF('Stock IN'!$C$3:$C$302,B28,'Stock IN'!$F$3:$F$302))</f>
        <v/>
      </c>
      <c r="L28" s="19" t="str">
        <f>IF(B28="","",SUMIF('Stock OUT (Issue)'!$D$3:$D$302,B28,'Stock OUT (Issue)'!$G$3:$G$302))</f>
        <v/>
      </c>
      <c r="M28" s="19" t="str">
        <f t="shared" si="2"/>
        <v/>
      </c>
      <c r="N28" s="20" t="str">
        <f t="shared" si="3"/>
        <v/>
      </c>
      <c r="O28" s="14" t="str">
        <f t="shared" si="4"/>
        <v/>
      </c>
      <c r="P28" s="14"/>
      <c r="Q28" s="14"/>
    </row>
    <row r="29" ht="15.75" customHeight="1">
      <c r="A29" s="14" t="str">
        <f t="shared" si="1"/>
        <v/>
      </c>
      <c r="B29" s="14"/>
      <c r="C29" s="14"/>
      <c r="D29" s="14"/>
      <c r="E29" s="14"/>
      <c r="F29" s="14"/>
      <c r="G29" s="14"/>
      <c r="H29" s="19"/>
      <c r="I29" s="19"/>
      <c r="J29" s="19"/>
      <c r="K29" s="19" t="str">
        <f>IF(B29="","",SUMIF('Stock IN'!$C$3:$C$302,B29,'Stock IN'!$F$3:$F$302))</f>
        <v/>
      </c>
      <c r="L29" s="19" t="str">
        <f>IF(B29="","",SUMIF('Stock OUT (Issue)'!$D$3:$D$302,B29,'Stock OUT (Issue)'!$G$3:$G$302))</f>
        <v/>
      </c>
      <c r="M29" s="19" t="str">
        <f t="shared" si="2"/>
        <v/>
      </c>
      <c r="N29" s="20" t="str">
        <f t="shared" si="3"/>
        <v/>
      </c>
      <c r="O29" s="14" t="str">
        <f t="shared" si="4"/>
        <v/>
      </c>
      <c r="P29" s="14"/>
      <c r="Q29" s="14"/>
    </row>
    <row r="30" ht="15.75" customHeight="1">
      <c r="A30" s="14" t="str">
        <f t="shared" si="1"/>
        <v/>
      </c>
      <c r="B30" s="14"/>
      <c r="C30" s="14"/>
      <c r="D30" s="14"/>
      <c r="E30" s="14"/>
      <c r="F30" s="14"/>
      <c r="G30" s="14"/>
      <c r="H30" s="19"/>
      <c r="I30" s="19"/>
      <c r="J30" s="19"/>
      <c r="K30" s="19" t="str">
        <f>IF(B30="","",SUMIF('Stock IN'!$C$3:$C$302,B30,'Stock IN'!$F$3:$F$302))</f>
        <v/>
      </c>
      <c r="L30" s="19" t="str">
        <f>IF(B30="","",SUMIF('Stock OUT (Issue)'!$D$3:$D$302,B30,'Stock OUT (Issue)'!$G$3:$G$302))</f>
        <v/>
      </c>
      <c r="M30" s="19" t="str">
        <f t="shared" si="2"/>
        <v/>
      </c>
      <c r="N30" s="20" t="str">
        <f t="shared" si="3"/>
        <v/>
      </c>
      <c r="O30" s="14" t="str">
        <f t="shared" si="4"/>
        <v/>
      </c>
      <c r="P30" s="14"/>
      <c r="Q30" s="14"/>
    </row>
    <row r="31" ht="15.75" customHeight="1">
      <c r="A31" s="14" t="str">
        <f t="shared" si="1"/>
        <v/>
      </c>
      <c r="B31" s="14"/>
      <c r="C31" s="14"/>
      <c r="D31" s="14"/>
      <c r="E31" s="14"/>
      <c r="F31" s="14"/>
      <c r="G31" s="14"/>
      <c r="H31" s="19"/>
      <c r="I31" s="19"/>
      <c r="J31" s="19"/>
      <c r="K31" s="19" t="str">
        <f>IF(B31="","",SUMIF('Stock IN'!$C$3:$C$302,B31,'Stock IN'!$F$3:$F$302))</f>
        <v/>
      </c>
      <c r="L31" s="19" t="str">
        <f>IF(B31="","",SUMIF('Stock OUT (Issue)'!$D$3:$D$302,B31,'Stock OUT (Issue)'!$G$3:$G$302))</f>
        <v/>
      </c>
      <c r="M31" s="19" t="str">
        <f t="shared" si="2"/>
        <v/>
      </c>
      <c r="N31" s="20" t="str">
        <f t="shared" si="3"/>
        <v/>
      </c>
      <c r="O31" s="14" t="str">
        <f t="shared" si="4"/>
        <v/>
      </c>
      <c r="P31" s="14"/>
      <c r="Q31" s="14"/>
    </row>
    <row r="32" ht="15.75" customHeight="1">
      <c r="A32" s="14" t="str">
        <f t="shared" si="1"/>
        <v/>
      </c>
      <c r="B32" s="14"/>
      <c r="C32" s="14"/>
      <c r="D32" s="14"/>
      <c r="E32" s="14"/>
      <c r="F32" s="14"/>
      <c r="G32" s="14"/>
      <c r="H32" s="19"/>
      <c r="I32" s="19"/>
      <c r="J32" s="19"/>
      <c r="K32" s="19" t="str">
        <f>IF(B32="","",SUMIF('Stock IN'!$C$3:$C$302,B32,'Stock IN'!$F$3:$F$302))</f>
        <v/>
      </c>
      <c r="L32" s="19" t="str">
        <f>IF(B32="","",SUMIF('Stock OUT (Issue)'!$D$3:$D$302,B32,'Stock OUT (Issue)'!$G$3:$G$302))</f>
        <v/>
      </c>
      <c r="M32" s="19" t="str">
        <f t="shared" si="2"/>
        <v/>
      </c>
      <c r="N32" s="20" t="str">
        <f t="shared" si="3"/>
        <v/>
      </c>
      <c r="O32" s="14" t="str">
        <f t="shared" si="4"/>
        <v/>
      </c>
      <c r="P32" s="14"/>
      <c r="Q32" s="14"/>
    </row>
    <row r="33" ht="15.75" customHeight="1">
      <c r="A33" s="14" t="str">
        <f t="shared" si="1"/>
        <v/>
      </c>
      <c r="B33" s="14"/>
      <c r="C33" s="14"/>
      <c r="D33" s="14"/>
      <c r="E33" s="14"/>
      <c r="F33" s="14"/>
      <c r="G33" s="14"/>
      <c r="H33" s="19"/>
      <c r="I33" s="19"/>
      <c r="J33" s="19"/>
      <c r="K33" s="19" t="str">
        <f>IF(B33="","",SUMIF('Stock IN'!$C$3:$C$302,B33,'Stock IN'!$F$3:$F$302))</f>
        <v/>
      </c>
      <c r="L33" s="19" t="str">
        <f>IF(B33="","",SUMIF('Stock OUT (Issue)'!$D$3:$D$302,B33,'Stock OUT (Issue)'!$G$3:$G$302))</f>
        <v/>
      </c>
      <c r="M33" s="19" t="str">
        <f t="shared" si="2"/>
        <v/>
      </c>
      <c r="N33" s="20" t="str">
        <f t="shared" si="3"/>
        <v/>
      </c>
      <c r="O33" s="14" t="str">
        <f t="shared" si="4"/>
        <v/>
      </c>
      <c r="P33" s="14"/>
      <c r="Q33" s="14"/>
    </row>
    <row r="34" ht="15.75" customHeight="1">
      <c r="A34" s="14" t="str">
        <f t="shared" si="1"/>
        <v/>
      </c>
      <c r="B34" s="14"/>
      <c r="C34" s="14"/>
      <c r="D34" s="14"/>
      <c r="E34" s="14"/>
      <c r="F34" s="14"/>
      <c r="G34" s="14"/>
      <c r="H34" s="19"/>
      <c r="I34" s="19"/>
      <c r="J34" s="19"/>
      <c r="K34" s="19" t="str">
        <f>IF(B34="","",SUMIF('Stock IN'!$C$3:$C$302,B34,'Stock IN'!$F$3:$F$302))</f>
        <v/>
      </c>
      <c r="L34" s="19" t="str">
        <f>IF(B34="","",SUMIF('Stock OUT (Issue)'!$D$3:$D$302,B34,'Stock OUT (Issue)'!$G$3:$G$302))</f>
        <v/>
      </c>
      <c r="M34" s="19" t="str">
        <f t="shared" si="2"/>
        <v/>
      </c>
      <c r="N34" s="20" t="str">
        <f t="shared" si="3"/>
        <v/>
      </c>
      <c r="O34" s="14" t="str">
        <f t="shared" si="4"/>
        <v/>
      </c>
      <c r="P34" s="14"/>
      <c r="Q34" s="14"/>
    </row>
    <row r="35" ht="15.75" customHeight="1">
      <c r="A35" s="14" t="str">
        <f t="shared" si="1"/>
        <v/>
      </c>
      <c r="B35" s="14"/>
      <c r="C35" s="14"/>
      <c r="D35" s="14"/>
      <c r="E35" s="14"/>
      <c r="F35" s="14"/>
      <c r="G35" s="14"/>
      <c r="H35" s="19"/>
      <c r="I35" s="19"/>
      <c r="J35" s="19"/>
      <c r="K35" s="19" t="str">
        <f>IF(B35="","",SUMIF('Stock IN'!$C$3:$C$302,B35,'Stock IN'!$F$3:$F$302))</f>
        <v/>
      </c>
      <c r="L35" s="19" t="str">
        <f>IF(B35="","",SUMIF('Stock OUT (Issue)'!$D$3:$D$302,B35,'Stock OUT (Issue)'!$G$3:$G$302))</f>
        <v/>
      </c>
      <c r="M35" s="19" t="str">
        <f t="shared" si="2"/>
        <v/>
      </c>
      <c r="N35" s="20" t="str">
        <f t="shared" si="3"/>
        <v/>
      </c>
      <c r="O35" s="14" t="str">
        <f t="shared" si="4"/>
        <v/>
      </c>
      <c r="P35" s="14"/>
      <c r="Q35" s="14"/>
    </row>
    <row r="36" ht="15.75" customHeight="1">
      <c r="A36" s="14" t="str">
        <f t="shared" si="1"/>
        <v/>
      </c>
      <c r="B36" s="14"/>
      <c r="C36" s="14"/>
      <c r="D36" s="14"/>
      <c r="E36" s="14"/>
      <c r="F36" s="14"/>
      <c r="G36" s="14"/>
      <c r="H36" s="19"/>
      <c r="I36" s="19"/>
      <c r="J36" s="19"/>
      <c r="K36" s="19" t="str">
        <f>IF(B36="","",SUMIF('Stock IN'!$C$3:$C$302,B36,'Stock IN'!$F$3:$F$302))</f>
        <v/>
      </c>
      <c r="L36" s="19" t="str">
        <f>IF(B36="","",SUMIF('Stock OUT (Issue)'!$D$3:$D$302,B36,'Stock OUT (Issue)'!$G$3:$G$302))</f>
        <v/>
      </c>
      <c r="M36" s="19" t="str">
        <f t="shared" si="2"/>
        <v/>
      </c>
      <c r="N36" s="20" t="str">
        <f t="shared" si="3"/>
        <v/>
      </c>
      <c r="O36" s="14" t="str">
        <f t="shared" si="4"/>
        <v/>
      </c>
      <c r="P36" s="14"/>
      <c r="Q36" s="14"/>
    </row>
    <row r="37" ht="15.75" customHeight="1">
      <c r="A37" s="14" t="str">
        <f t="shared" si="1"/>
        <v/>
      </c>
      <c r="B37" s="14"/>
      <c r="C37" s="14"/>
      <c r="D37" s="14"/>
      <c r="E37" s="14"/>
      <c r="F37" s="14"/>
      <c r="G37" s="14"/>
      <c r="H37" s="19"/>
      <c r="I37" s="19"/>
      <c r="J37" s="19"/>
      <c r="K37" s="19" t="str">
        <f>IF(B37="","",SUMIF('Stock IN'!$C$3:$C$302,B37,'Stock IN'!$F$3:$F$302))</f>
        <v/>
      </c>
      <c r="L37" s="19" t="str">
        <f>IF(B37="","",SUMIF('Stock OUT (Issue)'!$D$3:$D$302,B37,'Stock OUT (Issue)'!$G$3:$G$302))</f>
        <v/>
      </c>
      <c r="M37" s="19" t="str">
        <f t="shared" si="2"/>
        <v/>
      </c>
      <c r="N37" s="20" t="str">
        <f t="shared" si="3"/>
        <v/>
      </c>
      <c r="O37" s="14" t="str">
        <f t="shared" si="4"/>
        <v/>
      </c>
      <c r="P37" s="14"/>
      <c r="Q37" s="14"/>
    </row>
    <row r="38" ht="15.75" customHeight="1">
      <c r="A38" s="14" t="str">
        <f t="shared" si="1"/>
        <v/>
      </c>
      <c r="B38" s="14"/>
      <c r="C38" s="14"/>
      <c r="D38" s="14"/>
      <c r="E38" s="14"/>
      <c r="F38" s="14"/>
      <c r="G38" s="14"/>
      <c r="H38" s="19"/>
      <c r="I38" s="19"/>
      <c r="J38" s="19"/>
      <c r="K38" s="19" t="str">
        <f>IF(B38="","",SUMIF('Stock IN'!$C$3:$C$302,B38,'Stock IN'!$F$3:$F$302))</f>
        <v/>
      </c>
      <c r="L38" s="19" t="str">
        <f>IF(B38="","",SUMIF('Stock OUT (Issue)'!$D$3:$D$302,B38,'Stock OUT (Issue)'!$G$3:$G$302))</f>
        <v/>
      </c>
      <c r="M38" s="19" t="str">
        <f t="shared" si="2"/>
        <v/>
      </c>
      <c r="N38" s="20" t="str">
        <f t="shared" si="3"/>
        <v/>
      </c>
      <c r="O38" s="14" t="str">
        <f t="shared" si="4"/>
        <v/>
      </c>
      <c r="P38" s="14"/>
      <c r="Q38" s="14"/>
    </row>
    <row r="39" ht="15.75" customHeight="1">
      <c r="A39" s="14" t="str">
        <f t="shared" si="1"/>
        <v/>
      </c>
      <c r="B39" s="14"/>
      <c r="C39" s="14"/>
      <c r="D39" s="14"/>
      <c r="E39" s="14"/>
      <c r="F39" s="14"/>
      <c r="G39" s="14"/>
      <c r="H39" s="19"/>
      <c r="I39" s="19"/>
      <c r="J39" s="19"/>
      <c r="K39" s="19" t="str">
        <f>IF(B39="","",SUMIF('Stock IN'!$C$3:$C$302,B39,'Stock IN'!$F$3:$F$302))</f>
        <v/>
      </c>
      <c r="L39" s="19" t="str">
        <f>IF(B39="","",SUMIF('Stock OUT (Issue)'!$D$3:$D$302,B39,'Stock OUT (Issue)'!$G$3:$G$302))</f>
        <v/>
      </c>
      <c r="M39" s="19" t="str">
        <f t="shared" si="2"/>
        <v/>
      </c>
      <c r="N39" s="20" t="str">
        <f t="shared" si="3"/>
        <v/>
      </c>
      <c r="O39" s="14" t="str">
        <f t="shared" si="4"/>
        <v/>
      </c>
      <c r="P39" s="14"/>
      <c r="Q39" s="14"/>
    </row>
    <row r="40" ht="15.75" customHeight="1">
      <c r="A40" s="14" t="str">
        <f t="shared" si="1"/>
        <v/>
      </c>
      <c r="B40" s="14"/>
      <c r="C40" s="14"/>
      <c r="D40" s="14"/>
      <c r="E40" s="14"/>
      <c r="F40" s="14"/>
      <c r="G40" s="14"/>
      <c r="H40" s="19"/>
      <c r="I40" s="19"/>
      <c r="J40" s="19"/>
      <c r="K40" s="19" t="str">
        <f>IF(B40="","",SUMIF('Stock IN'!$C$3:$C$302,B40,'Stock IN'!$F$3:$F$302))</f>
        <v/>
      </c>
      <c r="L40" s="19" t="str">
        <f>IF(B40="","",SUMIF('Stock OUT (Issue)'!$D$3:$D$302,B40,'Stock OUT (Issue)'!$G$3:$G$302))</f>
        <v/>
      </c>
      <c r="M40" s="19" t="str">
        <f t="shared" si="2"/>
        <v/>
      </c>
      <c r="N40" s="20" t="str">
        <f t="shared" si="3"/>
        <v/>
      </c>
      <c r="O40" s="14" t="str">
        <f t="shared" si="4"/>
        <v/>
      </c>
      <c r="P40" s="14"/>
      <c r="Q40" s="14"/>
    </row>
    <row r="41" ht="15.75" customHeight="1">
      <c r="A41" s="14" t="str">
        <f t="shared" si="1"/>
        <v/>
      </c>
      <c r="B41" s="14"/>
      <c r="C41" s="14"/>
      <c r="D41" s="14"/>
      <c r="E41" s="14"/>
      <c r="F41" s="14"/>
      <c r="G41" s="14"/>
      <c r="H41" s="19"/>
      <c r="I41" s="19"/>
      <c r="J41" s="19"/>
      <c r="K41" s="19" t="str">
        <f>IF(B41="","",SUMIF('Stock IN'!$C$3:$C$302,B41,'Stock IN'!$F$3:$F$302))</f>
        <v/>
      </c>
      <c r="L41" s="19" t="str">
        <f>IF(B41="","",SUMIF('Stock OUT (Issue)'!$D$3:$D$302,B41,'Stock OUT (Issue)'!$G$3:$G$302))</f>
        <v/>
      </c>
      <c r="M41" s="19" t="str">
        <f t="shared" si="2"/>
        <v/>
      </c>
      <c r="N41" s="20" t="str">
        <f t="shared" si="3"/>
        <v/>
      </c>
      <c r="O41" s="14" t="str">
        <f t="shared" si="4"/>
        <v/>
      </c>
      <c r="P41" s="14"/>
      <c r="Q41" s="14"/>
    </row>
    <row r="42" ht="15.75" customHeight="1">
      <c r="A42" s="14" t="str">
        <f t="shared" si="1"/>
        <v/>
      </c>
      <c r="B42" s="14"/>
      <c r="C42" s="14"/>
      <c r="D42" s="14"/>
      <c r="E42" s="14"/>
      <c r="F42" s="14"/>
      <c r="G42" s="14"/>
      <c r="H42" s="19"/>
      <c r="I42" s="19"/>
      <c r="J42" s="19"/>
      <c r="K42" s="19" t="str">
        <f>IF(B42="","",SUMIF('Stock IN'!$C$3:$C$302,B42,'Stock IN'!$F$3:$F$302))</f>
        <v/>
      </c>
      <c r="L42" s="19" t="str">
        <f>IF(B42="","",SUMIF('Stock OUT (Issue)'!$D$3:$D$302,B42,'Stock OUT (Issue)'!$G$3:$G$302))</f>
        <v/>
      </c>
      <c r="M42" s="19" t="str">
        <f t="shared" si="2"/>
        <v/>
      </c>
      <c r="N42" s="20" t="str">
        <f t="shared" si="3"/>
        <v/>
      </c>
      <c r="O42" s="14" t="str">
        <f t="shared" si="4"/>
        <v/>
      </c>
      <c r="P42" s="14"/>
      <c r="Q42" s="14"/>
    </row>
    <row r="43" ht="15.75" customHeight="1">
      <c r="A43" s="14" t="str">
        <f t="shared" si="1"/>
        <v/>
      </c>
      <c r="B43" s="14"/>
      <c r="C43" s="14"/>
      <c r="D43" s="14"/>
      <c r="E43" s="14"/>
      <c r="F43" s="14"/>
      <c r="G43" s="14"/>
      <c r="H43" s="19"/>
      <c r="I43" s="19"/>
      <c r="J43" s="19"/>
      <c r="K43" s="19" t="str">
        <f>IF(B43="","",SUMIF('Stock IN'!$C$3:$C$302,B43,'Stock IN'!$F$3:$F$302))</f>
        <v/>
      </c>
      <c r="L43" s="19" t="str">
        <f>IF(B43="","",SUMIF('Stock OUT (Issue)'!$D$3:$D$302,B43,'Stock OUT (Issue)'!$G$3:$G$302))</f>
        <v/>
      </c>
      <c r="M43" s="19" t="str">
        <f t="shared" si="2"/>
        <v/>
      </c>
      <c r="N43" s="20" t="str">
        <f t="shared" si="3"/>
        <v/>
      </c>
      <c r="O43" s="14" t="str">
        <f t="shared" si="4"/>
        <v/>
      </c>
      <c r="P43" s="14"/>
      <c r="Q43" s="14"/>
    </row>
    <row r="44" ht="15.75" customHeight="1">
      <c r="A44" s="14" t="str">
        <f t="shared" si="1"/>
        <v/>
      </c>
      <c r="B44" s="14"/>
      <c r="C44" s="14"/>
      <c r="D44" s="14"/>
      <c r="E44" s="14"/>
      <c r="F44" s="14"/>
      <c r="G44" s="14"/>
      <c r="H44" s="19"/>
      <c r="I44" s="19"/>
      <c r="J44" s="19"/>
      <c r="K44" s="19" t="str">
        <f>IF(B44="","",SUMIF('Stock IN'!$C$3:$C$302,B44,'Stock IN'!$F$3:$F$302))</f>
        <v/>
      </c>
      <c r="L44" s="19" t="str">
        <f>IF(B44="","",SUMIF('Stock OUT (Issue)'!$D$3:$D$302,B44,'Stock OUT (Issue)'!$G$3:$G$302))</f>
        <v/>
      </c>
      <c r="M44" s="19" t="str">
        <f t="shared" si="2"/>
        <v/>
      </c>
      <c r="N44" s="20" t="str">
        <f t="shared" si="3"/>
        <v/>
      </c>
      <c r="O44" s="14" t="str">
        <f t="shared" si="4"/>
        <v/>
      </c>
      <c r="P44" s="14"/>
      <c r="Q44" s="14"/>
    </row>
    <row r="45" ht="15.75" customHeight="1">
      <c r="A45" s="14" t="str">
        <f t="shared" si="1"/>
        <v/>
      </c>
      <c r="B45" s="14"/>
      <c r="C45" s="14"/>
      <c r="D45" s="14"/>
      <c r="E45" s="14"/>
      <c r="F45" s="14"/>
      <c r="G45" s="14"/>
      <c r="H45" s="19"/>
      <c r="I45" s="19"/>
      <c r="J45" s="19"/>
      <c r="K45" s="19" t="str">
        <f>IF(B45="","",SUMIF('Stock IN'!$C$3:$C$302,B45,'Stock IN'!$F$3:$F$302))</f>
        <v/>
      </c>
      <c r="L45" s="19" t="str">
        <f>IF(B45="","",SUMIF('Stock OUT (Issue)'!$D$3:$D$302,B45,'Stock OUT (Issue)'!$G$3:$G$302))</f>
        <v/>
      </c>
      <c r="M45" s="19" t="str">
        <f t="shared" si="2"/>
        <v/>
      </c>
      <c r="N45" s="20" t="str">
        <f t="shared" si="3"/>
        <v/>
      </c>
      <c r="O45" s="14" t="str">
        <f t="shared" si="4"/>
        <v/>
      </c>
      <c r="P45" s="14"/>
      <c r="Q45" s="14"/>
    </row>
    <row r="46" ht="15.75" customHeight="1">
      <c r="A46" s="14" t="str">
        <f t="shared" si="1"/>
        <v/>
      </c>
      <c r="B46" s="14"/>
      <c r="C46" s="14"/>
      <c r="D46" s="14"/>
      <c r="E46" s="14"/>
      <c r="F46" s="14"/>
      <c r="G46" s="14"/>
      <c r="H46" s="19"/>
      <c r="I46" s="19"/>
      <c r="J46" s="19"/>
      <c r="K46" s="19" t="str">
        <f>IF(B46="","",SUMIF('Stock IN'!$C$3:$C$302,B46,'Stock IN'!$F$3:$F$302))</f>
        <v/>
      </c>
      <c r="L46" s="19" t="str">
        <f>IF(B46="","",SUMIF('Stock OUT (Issue)'!$D$3:$D$302,B46,'Stock OUT (Issue)'!$G$3:$G$302))</f>
        <v/>
      </c>
      <c r="M46" s="19" t="str">
        <f t="shared" si="2"/>
        <v/>
      </c>
      <c r="N46" s="20" t="str">
        <f t="shared" si="3"/>
        <v/>
      </c>
      <c r="O46" s="14" t="str">
        <f t="shared" si="4"/>
        <v/>
      </c>
      <c r="P46" s="14"/>
      <c r="Q46" s="14"/>
    </row>
    <row r="47" ht="15.75" customHeight="1">
      <c r="A47" s="14" t="str">
        <f t="shared" si="1"/>
        <v/>
      </c>
      <c r="B47" s="14"/>
      <c r="C47" s="14"/>
      <c r="D47" s="14"/>
      <c r="E47" s="14"/>
      <c r="F47" s="14"/>
      <c r="G47" s="14"/>
      <c r="H47" s="19"/>
      <c r="I47" s="19"/>
      <c r="J47" s="19"/>
      <c r="K47" s="19" t="str">
        <f>IF(B47="","",SUMIF('Stock IN'!$C$3:$C$302,B47,'Stock IN'!$F$3:$F$302))</f>
        <v/>
      </c>
      <c r="L47" s="19" t="str">
        <f>IF(B47="","",SUMIF('Stock OUT (Issue)'!$D$3:$D$302,B47,'Stock OUT (Issue)'!$G$3:$G$302))</f>
        <v/>
      </c>
      <c r="M47" s="19" t="str">
        <f t="shared" si="2"/>
        <v/>
      </c>
      <c r="N47" s="20" t="str">
        <f t="shared" si="3"/>
        <v/>
      </c>
      <c r="O47" s="14" t="str">
        <f t="shared" si="4"/>
        <v/>
      </c>
      <c r="P47" s="14"/>
      <c r="Q47" s="14"/>
    </row>
    <row r="48" ht="15.75" customHeight="1">
      <c r="A48" s="14" t="str">
        <f t="shared" si="1"/>
        <v/>
      </c>
      <c r="B48" s="14"/>
      <c r="C48" s="14"/>
      <c r="D48" s="14"/>
      <c r="E48" s="14"/>
      <c r="F48" s="14"/>
      <c r="G48" s="14"/>
      <c r="H48" s="19"/>
      <c r="I48" s="19"/>
      <c r="J48" s="19"/>
      <c r="K48" s="19" t="str">
        <f>IF(B48="","",SUMIF('Stock IN'!$C$3:$C$302,B48,'Stock IN'!$F$3:$F$302))</f>
        <v/>
      </c>
      <c r="L48" s="19" t="str">
        <f>IF(B48="","",SUMIF('Stock OUT (Issue)'!$D$3:$D$302,B48,'Stock OUT (Issue)'!$G$3:$G$302))</f>
        <v/>
      </c>
      <c r="M48" s="19" t="str">
        <f t="shared" si="2"/>
        <v/>
      </c>
      <c r="N48" s="20" t="str">
        <f t="shared" si="3"/>
        <v/>
      </c>
      <c r="O48" s="14" t="str">
        <f t="shared" si="4"/>
        <v/>
      </c>
      <c r="P48" s="14"/>
      <c r="Q48" s="14"/>
    </row>
    <row r="49" ht="15.75" customHeight="1">
      <c r="A49" s="14" t="str">
        <f t="shared" si="1"/>
        <v/>
      </c>
      <c r="B49" s="14"/>
      <c r="C49" s="14"/>
      <c r="D49" s="14"/>
      <c r="E49" s="14"/>
      <c r="F49" s="14"/>
      <c r="G49" s="14"/>
      <c r="H49" s="19"/>
      <c r="I49" s="19"/>
      <c r="J49" s="19"/>
      <c r="K49" s="19" t="str">
        <f>IF(B49="","",SUMIF('Stock IN'!$C$3:$C$302,B49,'Stock IN'!$F$3:$F$302))</f>
        <v/>
      </c>
      <c r="L49" s="19" t="str">
        <f>IF(B49="","",SUMIF('Stock OUT (Issue)'!$D$3:$D$302,B49,'Stock OUT (Issue)'!$G$3:$G$302))</f>
        <v/>
      </c>
      <c r="M49" s="19" t="str">
        <f t="shared" si="2"/>
        <v/>
      </c>
      <c r="N49" s="20" t="str">
        <f t="shared" si="3"/>
        <v/>
      </c>
      <c r="O49" s="14" t="str">
        <f t="shared" si="4"/>
        <v/>
      </c>
      <c r="P49" s="14"/>
      <c r="Q49" s="14"/>
    </row>
    <row r="50" ht="15.75" customHeight="1">
      <c r="A50" s="14" t="str">
        <f t="shared" si="1"/>
        <v/>
      </c>
      <c r="B50" s="14"/>
      <c r="C50" s="14"/>
      <c r="D50" s="14"/>
      <c r="E50" s="14"/>
      <c r="F50" s="14"/>
      <c r="G50" s="14"/>
      <c r="H50" s="19"/>
      <c r="I50" s="19"/>
      <c r="J50" s="19"/>
      <c r="K50" s="19" t="str">
        <f>IF(B50="","",SUMIF('Stock IN'!$C$3:$C$302,B50,'Stock IN'!$F$3:$F$302))</f>
        <v/>
      </c>
      <c r="L50" s="19" t="str">
        <f>IF(B50="","",SUMIF('Stock OUT (Issue)'!$D$3:$D$302,B50,'Stock OUT (Issue)'!$G$3:$G$302))</f>
        <v/>
      </c>
      <c r="M50" s="19" t="str">
        <f t="shared" si="2"/>
        <v/>
      </c>
      <c r="N50" s="20" t="str">
        <f t="shared" si="3"/>
        <v/>
      </c>
      <c r="O50" s="14" t="str">
        <f t="shared" si="4"/>
        <v/>
      </c>
      <c r="P50" s="14"/>
      <c r="Q50" s="14"/>
    </row>
    <row r="51" ht="15.75" customHeight="1">
      <c r="A51" s="14" t="str">
        <f t="shared" si="1"/>
        <v/>
      </c>
      <c r="B51" s="14"/>
      <c r="C51" s="14"/>
      <c r="D51" s="14"/>
      <c r="E51" s="14"/>
      <c r="F51" s="14"/>
      <c r="G51" s="14"/>
      <c r="H51" s="19"/>
      <c r="I51" s="19"/>
      <c r="J51" s="19"/>
      <c r="K51" s="19" t="str">
        <f>IF(B51="","",SUMIF('Stock IN'!$C$3:$C$302,B51,'Stock IN'!$F$3:$F$302))</f>
        <v/>
      </c>
      <c r="L51" s="19" t="str">
        <f>IF(B51="","",SUMIF('Stock OUT (Issue)'!$D$3:$D$302,B51,'Stock OUT (Issue)'!$G$3:$G$302))</f>
        <v/>
      </c>
      <c r="M51" s="19" t="str">
        <f t="shared" si="2"/>
        <v/>
      </c>
      <c r="N51" s="20" t="str">
        <f t="shared" si="3"/>
        <v/>
      </c>
      <c r="O51" s="14" t="str">
        <f t="shared" si="4"/>
        <v/>
      </c>
      <c r="P51" s="14"/>
      <c r="Q51" s="14"/>
    </row>
    <row r="52" ht="15.75" customHeight="1">
      <c r="A52" s="14" t="str">
        <f t="shared" si="1"/>
        <v/>
      </c>
      <c r="B52" s="14"/>
      <c r="C52" s="14"/>
      <c r="D52" s="14"/>
      <c r="E52" s="14"/>
      <c r="F52" s="14"/>
      <c r="G52" s="14"/>
      <c r="H52" s="19"/>
      <c r="I52" s="19"/>
      <c r="J52" s="19"/>
      <c r="K52" s="19" t="str">
        <f>IF(B52="","",SUMIF('Stock IN'!$C$3:$C$302,B52,'Stock IN'!$F$3:$F$302))</f>
        <v/>
      </c>
      <c r="L52" s="19" t="str">
        <f>IF(B52="","",SUMIF('Stock OUT (Issue)'!$D$3:$D$302,B52,'Stock OUT (Issue)'!$G$3:$G$302))</f>
        <v/>
      </c>
      <c r="M52" s="19" t="str">
        <f t="shared" si="2"/>
        <v/>
      </c>
      <c r="N52" s="20" t="str">
        <f t="shared" si="3"/>
        <v/>
      </c>
      <c r="O52" s="14" t="str">
        <f t="shared" si="4"/>
        <v/>
      </c>
      <c r="P52" s="14"/>
      <c r="Q52" s="14"/>
    </row>
    <row r="53" ht="15.75" customHeight="1">
      <c r="A53" s="14" t="str">
        <f t="shared" si="1"/>
        <v/>
      </c>
      <c r="B53" s="14"/>
      <c r="C53" s="14"/>
      <c r="D53" s="14"/>
      <c r="E53" s="14"/>
      <c r="F53" s="14"/>
      <c r="G53" s="14"/>
      <c r="H53" s="19"/>
      <c r="I53" s="19"/>
      <c r="J53" s="19"/>
      <c r="K53" s="19" t="str">
        <f>IF(B53="","",SUMIF('Stock IN'!$C$3:$C$302,B53,'Stock IN'!$F$3:$F$302))</f>
        <v/>
      </c>
      <c r="L53" s="19" t="str">
        <f>IF(B53="","",SUMIF('Stock OUT (Issue)'!$D$3:$D$302,B53,'Stock OUT (Issue)'!$G$3:$G$302))</f>
        <v/>
      </c>
      <c r="M53" s="19" t="str">
        <f t="shared" si="2"/>
        <v/>
      </c>
      <c r="N53" s="20" t="str">
        <f t="shared" si="3"/>
        <v/>
      </c>
      <c r="O53" s="14" t="str">
        <f t="shared" si="4"/>
        <v/>
      </c>
      <c r="P53" s="14"/>
      <c r="Q53" s="14"/>
    </row>
    <row r="54" ht="15.75" customHeight="1">
      <c r="A54" s="14" t="str">
        <f t="shared" si="1"/>
        <v/>
      </c>
      <c r="B54" s="14"/>
      <c r="C54" s="14"/>
      <c r="D54" s="14"/>
      <c r="E54" s="14"/>
      <c r="F54" s="14"/>
      <c r="G54" s="14"/>
      <c r="H54" s="19"/>
      <c r="I54" s="19"/>
      <c r="J54" s="19"/>
      <c r="K54" s="19" t="str">
        <f>IF(B54="","",SUMIF('Stock IN'!$C$3:$C$302,B54,'Stock IN'!$F$3:$F$302))</f>
        <v/>
      </c>
      <c r="L54" s="19" t="str">
        <f>IF(B54="","",SUMIF('Stock OUT (Issue)'!$D$3:$D$302,B54,'Stock OUT (Issue)'!$G$3:$G$302))</f>
        <v/>
      </c>
      <c r="M54" s="19" t="str">
        <f t="shared" si="2"/>
        <v/>
      </c>
      <c r="N54" s="20" t="str">
        <f t="shared" si="3"/>
        <v/>
      </c>
      <c r="O54" s="14" t="str">
        <f t="shared" si="4"/>
        <v/>
      </c>
      <c r="P54" s="14"/>
      <c r="Q54" s="14"/>
    </row>
    <row r="55" ht="15.75" customHeight="1">
      <c r="A55" s="14" t="str">
        <f t="shared" si="1"/>
        <v/>
      </c>
      <c r="B55" s="14"/>
      <c r="C55" s="14"/>
      <c r="D55" s="14"/>
      <c r="E55" s="14"/>
      <c r="F55" s="14"/>
      <c r="G55" s="14"/>
      <c r="H55" s="19"/>
      <c r="I55" s="19"/>
      <c r="J55" s="19"/>
      <c r="K55" s="19" t="str">
        <f>IF(B55="","",SUMIF('Stock IN'!$C$3:$C$302,B55,'Stock IN'!$F$3:$F$302))</f>
        <v/>
      </c>
      <c r="L55" s="19" t="str">
        <f>IF(B55="","",SUMIF('Stock OUT (Issue)'!$D$3:$D$302,B55,'Stock OUT (Issue)'!$G$3:$G$302))</f>
        <v/>
      </c>
      <c r="M55" s="19" t="str">
        <f t="shared" si="2"/>
        <v/>
      </c>
      <c r="N55" s="20" t="str">
        <f t="shared" si="3"/>
        <v/>
      </c>
      <c r="O55" s="14" t="str">
        <f t="shared" si="4"/>
        <v/>
      </c>
      <c r="P55" s="14"/>
      <c r="Q55" s="14"/>
    </row>
    <row r="56" ht="15.75" customHeight="1">
      <c r="A56" s="14" t="str">
        <f t="shared" si="1"/>
        <v/>
      </c>
      <c r="B56" s="14"/>
      <c r="C56" s="14"/>
      <c r="D56" s="14"/>
      <c r="E56" s="14"/>
      <c r="F56" s="14"/>
      <c r="G56" s="14"/>
      <c r="H56" s="19"/>
      <c r="I56" s="19"/>
      <c r="J56" s="19"/>
      <c r="K56" s="19" t="str">
        <f>IF(B56="","",SUMIF('Stock IN'!$C$3:$C$302,B56,'Stock IN'!$F$3:$F$302))</f>
        <v/>
      </c>
      <c r="L56" s="19" t="str">
        <f>IF(B56="","",SUMIF('Stock OUT (Issue)'!$D$3:$D$302,B56,'Stock OUT (Issue)'!$G$3:$G$302))</f>
        <v/>
      </c>
      <c r="M56" s="19" t="str">
        <f t="shared" si="2"/>
        <v/>
      </c>
      <c r="N56" s="20" t="str">
        <f t="shared" si="3"/>
        <v/>
      </c>
      <c r="O56" s="14" t="str">
        <f t="shared" si="4"/>
        <v/>
      </c>
      <c r="P56" s="14"/>
      <c r="Q56" s="14"/>
    </row>
    <row r="57" ht="15.75" customHeight="1">
      <c r="A57" s="14" t="str">
        <f t="shared" si="1"/>
        <v/>
      </c>
      <c r="B57" s="14"/>
      <c r="C57" s="14"/>
      <c r="D57" s="14"/>
      <c r="E57" s="14"/>
      <c r="F57" s="14"/>
      <c r="G57" s="14"/>
      <c r="H57" s="19"/>
      <c r="I57" s="19"/>
      <c r="J57" s="19"/>
      <c r="K57" s="19" t="str">
        <f>IF(B57="","",SUMIF('Stock IN'!$C$3:$C$302,B57,'Stock IN'!$F$3:$F$302))</f>
        <v/>
      </c>
      <c r="L57" s="19" t="str">
        <f>IF(B57="","",SUMIF('Stock OUT (Issue)'!$D$3:$D$302,B57,'Stock OUT (Issue)'!$G$3:$G$302))</f>
        <v/>
      </c>
      <c r="M57" s="19" t="str">
        <f t="shared" si="2"/>
        <v/>
      </c>
      <c r="N57" s="20" t="str">
        <f t="shared" si="3"/>
        <v/>
      </c>
      <c r="O57" s="14" t="str">
        <f t="shared" si="4"/>
        <v/>
      </c>
      <c r="P57" s="14"/>
      <c r="Q57" s="14"/>
    </row>
    <row r="58" ht="15.75" customHeight="1">
      <c r="A58" s="14" t="str">
        <f t="shared" si="1"/>
        <v/>
      </c>
      <c r="B58" s="14"/>
      <c r="C58" s="14"/>
      <c r="D58" s="14"/>
      <c r="E58" s="14"/>
      <c r="F58" s="14"/>
      <c r="G58" s="14"/>
      <c r="H58" s="19"/>
      <c r="I58" s="19"/>
      <c r="J58" s="19"/>
      <c r="K58" s="19" t="str">
        <f>IF(B58="","",SUMIF('Stock IN'!$C$3:$C$302,B58,'Stock IN'!$F$3:$F$302))</f>
        <v/>
      </c>
      <c r="L58" s="19" t="str">
        <f>IF(B58="","",SUMIF('Stock OUT (Issue)'!$D$3:$D$302,B58,'Stock OUT (Issue)'!$G$3:$G$302))</f>
        <v/>
      </c>
      <c r="M58" s="19" t="str">
        <f t="shared" si="2"/>
        <v/>
      </c>
      <c r="N58" s="20" t="str">
        <f t="shared" si="3"/>
        <v/>
      </c>
      <c r="O58" s="14" t="str">
        <f t="shared" si="4"/>
        <v/>
      </c>
      <c r="P58" s="14"/>
      <c r="Q58" s="14"/>
    </row>
    <row r="59" ht="15.75" customHeight="1">
      <c r="A59" s="14" t="str">
        <f t="shared" si="1"/>
        <v/>
      </c>
      <c r="B59" s="14"/>
      <c r="C59" s="14"/>
      <c r="D59" s="14"/>
      <c r="E59" s="14"/>
      <c r="F59" s="14"/>
      <c r="G59" s="14"/>
      <c r="H59" s="19"/>
      <c r="I59" s="19"/>
      <c r="J59" s="19"/>
      <c r="K59" s="19" t="str">
        <f>IF(B59="","",SUMIF('Stock IN'!$C$3:$C$302,B59,'Stock IN'!$F$3:$F$302))</f>
        <v/>
      </c>
      <c r="L59" s="19" t="str">
        <f>IF(B59="","",SUMIF('Stock OUT (Issue)'!$D$3:$D$302,B59,'Stock OUT (Issue)'!$G$3:$G$302))</f>
        <v/>
      </c>
      <c r="M59" s="19" t="str">
        <f t="shared" si="2"/>
        <v/>
      </c>
      <c r="N59" s="20" t="str">
        <f t="shared" si="3"/>
        <v/>
      </c>
      <c r="O59" s="14" t="str">
        <f t="shared" si="4"/>
        <v/>
      </c>
      <c r="P59" s="14"/>
      <c r="Q59" s="14"/>
    </row>
    <row r="60" ht="15.75" customHeight="1">
      <c r="A60" s="14" t="str">
        <f t="shared" si="1"/>
        <v/>
      </c>
      <c r="B60" s="14"/>
      <c r="C60" s="14"/>
      <c r="D60" s="14"/>
      <c r="E60" s="14"/>
      <c r="F60" s="14"/>
      <c r="G60" s="14"/>
      <c r="H60" s="19"/>
      <c r="I60" s="19"/>
      <c r="J60" s="19"/>
      <c r="K60" s="19" t="str">
        <f>IF(B60="","",SUMIF('Stock IN'!$C$3:$C$302,B60,'Stock IN'!$F$3:$F$302))</f>
        <v/>
      </c>
      <c r="L60" s="19" t="str">
        <f>IF(B60="","",SUMIF('Stock OUT (Issue)'!$D$3:$D$302,B60,'Stock OUT (Issue)'!$G$3:$G$302))</f>
        <v/>
      </c>
      <c r="M60" s="19" t="str">
        <f t="shared" si="2"/>
        <v/>
      </c>
      <c r="N60" s="20" t="str">
        <f t="shared" si="3"/>
        <v/>
      </c>
      <c r="O60" s="14" t="str">
        <f t="shared" si="4"/>
        <v/>
      </c>
      <c r="P60" s="14"/>
      <c r="Q60" s="14"/>
    </row>
    <row r="61" ht="15.75" customHeight="1">
      <c r="A61" s="14" t="str">
        <f t="shared" si="1"/>
        <v/>
      </c>
      <c r="B61" s="14"/>
      <c r="C61" s="14"/>
      <c r="D61" s="14"/>
      <c r="E61" s="14"/>
      <c r="F61" s="14"/>
      <c r="G61" s="14"/>
      <c r="H61" s="19"/>
      <c r="I61" s="19"/>
      <c r="J61" s="19"/>
      <c r="K61" s="19" t="str">
        <f>IF(B61="","",SUMIF('Stock IN'!$C$3:$C$302,B61,'Stock IN'!$F$3:$F$302))</f>
        <v/>
      </c>
      <c r="L61" s="19" t="str">
        <f>IF(B61="","",SUMIF('Stock OUT (Issue)'!$D$3:$D$302,B61,'Stock OUT (Issue)'!$G$3:$G$302))</f>
        <v/>
      </c>
      <c r="M61" s="19" t="str">
        <f t="shared" si="2"/>
        <v/>
      </c>
      <c r="N61" s="20" t="str">
        <f t="shared" si="3"/>
        <v/>
      </c>
      <c r="O61" s="14" t="str">
        <f t="shared" si="4"/>
        <v/>
      </c>
      <c r="P61" s="14"/>
      <c r="Q61" s="14"/>
    </row>
    <row r="62" ht="15.75" customHeight="1">
      <c r="A62" s="14" t="str">
        <f t="shared" si="1"/>
        <v/>
      </c>
      <c r="B62" s="14"/>
      <c r="C62" s="14"/>
      <c r="D62" s="14"/>
      <c r="E62" s="14"/>
      <c r="F62" s="14"/>
      <c r="G62" s="14"/>
      <c r="H62" s="19"/>
      <c r="I62" s="19"/>
      <c r="J62" s="19"/>
      <c r="K62" s="19" t="str">
        <f>IF(B62="","",SUMIF('Stock IN'!$C$3:$C$302,B62,'Stock IN'!$F$3:$F$302))</f>
        <v/>
      </c>
      <c r="L62" s="19" t="str">
        <f>IF(B62="","",SUMIF('Stock OUT (Issue)'!$D$3:$D$302,B62,'Stock OUT (Issue)'!$G$3:$G$302))</f>
        <v/>
      </c>
      <c r="M62" s="19" t="str">
        <f t="shared" si="2"/>
        <v/>
      </c>
      <c r="N62" s="20" t="str">
        <f t="shared" si="3"/>
        <v/>
      </c>
      <c r="O62" s="14" t="str">
        <f t="shared" si="4"/>
        <v/>
      </c>
      <c r="P62" s="14"/>
      <c r="Q62" s="14"/>
    </row>
    <row r="63" ht="15.75" customHeight="1">
      <c r="A63" s="14" t="str">
        <f t="shared" si="1"/>
        <v/>
      </c>
      <c r="B63" s="14"/>
      <c r="C63" s="14"/>
      <c r="D63" s="14"/>
      <c r="E63" s="14"/>
      <c r="F63" s="14"/>
      <c r="G63" s="14"/>
      <c r="H63" s="19"/>
      <c r="I63" s="19"/>
      <c r="J63" s="19"/>
      <c r="K63" s="19" t="str">
        <f>IF(B63="","",SUMIF('Stock IN'!$C$3:$C$302,B63,'Stock IN'!$F$3:$F$302))</f>
        <v/>
      </c>
      <c r="L63" s="19" t="str">
        <f>IF(B63="","",SUMIF('Stock OUT (Issue)'!$D$3:$D$302,B63,'Stock OUT (Issue)'!$G$3:$G$302))</f>
        <v/>
      </c>
      <c r="M63" s="19" t="str">
        <f t="shared" si="2"/>
        <v/>
      </c>
      <c r="N63" s="20" t="str">
        <f t="shared" si="3"/>
        <v/>
      </c>
      <c r="O63" s="14" t="str">
        <f t="shared" si="4"/>
        <v/>
      </c>
      <c r="P63" s="14"/>
      <c r="Q63" s="14"/>
    </row>
    <row r="64" ht="15.75" customHeight="1">
      <c r="A64" s="14" t="str">
        <f t="shared" si="1"/>
        <v/>
      </c>
      <c r="B64" s="14"/>
      <c r="C64" s="14"/>
      <c r="D64" s="14"/>
      <c r="E64" s="14"/>
      <c r="F64" s="14"/>
      <c r="G64" s="14"/>
      <c r="H64" s="19"/>
      <c r="I64" s="19"/>
      <c r="J64" s="19"/>
      <c r="K64" s="19" t="str">
        <f>IF(B64="","",SUMIF('Stock IN'!$C$3:$C$302,B64,'Stock IN'!$F$3:$F$302))</f>
        <v/>
      </c>
      <c r="L64" s="19" t="str">
        <f>IF(B64="","",SUMIF('Stock OUT (Issue)'!$D$3:$D$302,B64,'Stock OUT (Issue)'!$G$3:$G$302))</f>
        <v/>
      </c>
      <c r="M64" s="19" t="str">
        <f t="shared" si="2"/>
        <v/>
      </c>
      <c r="N64" s="20" t="str">
        <f t="shared" si="3"/>
        <v/>
      </c>
      <c r="O64" s="14" t="str">
        <f t="shared" si="4"/>
        <v/>
      </c>
      <c r="P64" s="14"/>
      <c r="Q64" s="14"/>
    </row>
    <row r="65" ht="15.75" customHeight="1">
      <c r="A65" s="14" t="str">
        <f t="shared" si="1"/>
        <v/>
      </c>
      <c r="B65" s="14"/>
      <c r="C65" s="14"/>
      <c r="D65" s="14"/>
      <c r="E65" s="14"/>
      <c r="F65" s="14"/>
      <c r="G65" s="14"/>
      <c r="H65" s="19"/>
      <c r="I65" s="19"/>
      <c r="J65" s="19"/>
      <c r="K65" s="19" t="str">
        <f>IF(B65="","",SUMIF('Stock IN'!$C$3:$C$302,B65,'Stock IN'!$F$3:$F$302))</f>
        <v/>
      </c>
      <c r="L65" s="19" t="str">
        <f>IF(B65="","",SUMIF('Stock OUT (Issue)'!$D$3:$D$302,B65,'Stock OUT (Issue)'!$G$3:$G$302))</f>
        <v/>
      </c>
      <c r="M65" s="19" t="str">
        <f t="shared" si="2"/>
        <v/>
      </c>
      <c r="N65" s="20" t="str">
        <f t="shared" si="3"/>
        <v/>
      </c>
      <c r="O65" s="14" t="str">
        <f t="shared" si="4"/>
        <v/>
      </c>
      <c r="P65" s="14"/>
      <c r="Q65" s="14"/>
    </row>
    <row r="66" ht="15.75" customHeight="1">
      <c r="A66" s="14" t="str">
        <f t="shared" si="1"/>
        <v/>
      </c>
      <c r="B66" s="14"/>
      <c r="C66" s="14"/>
      <c r="D66" s="14"/>
      <c r="E66" s="14"/>
      <c r="F66" s="14"/>
      <c r="G66" s="14"/>
      <c r="H66" s="19"/>
      <c r="I66" s="19"/>
      <c r="J66" s="19"/>
      <c r="K66" s="19" t="str">
        <f>IF(B66="","",SUMIF('Stock IN'!$C$3:$C$302,B66,'Stock IN'!$F$3:$F$302))</f>
        <v/>
      </c>
      <c r="L66" s="19" t="str">
        <f>IF(B66="","",SUMIF('Stock OUT (Issue)'!$D$3:$D$302,B66,'Stock OUT (Issue)'!$G$3:$G$302))</f>
        <v/>
      </c>
      <c r="M66" s="19" t="str">
        <f t="shared" si="2"/>
        <v/>
      </c>
      <c r="N66" s="20" t="str">
        <f t="shared" si="3"/>
        <v/>
      </c>
      <c r="O66" s="14" t="str">
        <f t="shared" si="4"/>
        <v/>
      </c>
      <c r="P66" s="14"/>
      <c r="Q66" s="14"/>
    </row>
    <row r="67" ht="15.75" customHeight="1">
      <c r="A67" s="14" t="str">
        <f t="shared" si="1"/>
        <v/>
      </c>
      <c r="B67" s="14"/>
      <c r="C67" s="14"/>
      <c r="D67" s="14"/>
      <c r="E67" s="14"/>
      <c r="F67" s="14"/>
      <c r="G67" s="14"/>
      <c r="H67" s="19"/>
      <c r="I67" s="19"/>
      <c r="J67" s="19"/>
      <c r="K67" s="19" t="str">
        <f>IF(B67="","",SUMIF('Stock IN'!$C$3:$C$302,B67,'Stock IN'!$F$3:$F$302))</f>
        <v/>
      </c>
      <c r="L67" s="19" t="str">
        <f>IF(B67="","",SUMIF('Stock OUT (Issue)'!$D$3:$D$302,B67,'Stock OUT (Issue)'!$G$3:$G$302))</f>
        <v/>
      </c>
      <c r="M67" s="19" t="str">
        <f t="shared" si="2"/>
        <v/>
      </c>
      <c r="N67" s="20" t="str">
        <f t="shared" si="3"/>
        <v/>
      </c>
      <c r="O67" s="14" t="str">
        <f t="shared" si="4"/>
        <v/>
      </c>
      <c r="P67" s="14"/>
      <c r="Q67" s="14"/>
    </row>
    <row r="68" ht="15.75" customHeight="1">
      <c r="A68" s="14" t="str">
        <f t="shared" si="1"/>
        <v/>
      </c>
      <c r="B68" s="14"/>
      <c r="C68" s="14"/>
      <c r="D68" s="14"/>
      <c r="E68" s="14"/>
      <c r="F68" s="14"/>
      <c r="G68" s="14"/>
      <c r="H68" s="19"/>
      <c r="I68" s="19"/>
      <c r="J68" s="19"/>
      <c r="K68" s="19" t="str">
        <f>IF(B68="","",SUMIF('Stock IN'!$C$3:$C$302,B68,'Stock IN'!$F$3:$F$302))</f>
        <v/>
      </c>
      <c r="L68" s="19" t="str">
        <f>IF(B68="","",SUMIF('Stock OUT (Issue)'!$D$3:$D$302,B68,'Stock OUT (Issue)'!$G$3:$G$302))</f>
        <v/>
      </c>
      <c r="M68" s="19" t="str">
        <f t="shared" si="2"/>
        <v/>
      </c>
      <c r="N68" s="20" t="str">
        <f t="shared" si="3"/>
        <v/>
      </c>
      <c r="O68" s="14" t="str">
        <f t="shared" si="4"/>
        <v/>
      </c>
      <c r="P68" s="14"/>
      <c r="Q68" s="14"/>
    </row>
    <row r="69" ht="15.75" customHeight="1">
      <c r="A69" s="14" t="str">
        <f t="shared" si="1"/>
        <v/>
      </c>
      <c r="B69" s="14"/>
      <c r="C69" s="14"/>
      <c r="D69" s="14"/>
      <c r="E69" s="14"/>
      <c r="F69" s="14"/>
      <c r="G69" s="14"/>
      <c r="H69" s="19"/>
      <c r="I69" s="19"/>
      <c r="J69" s="19"/>
      <c r="K69" s="19" t="str">
        <f>IF(B69="","",SUMIF('Stock IN'!$C$3:$C$302,B69,'Stock IN'!$F$3:$F$302))</f>
        <v/>
      </c>
      <c r="L69" s="19" t="str">
        <f>IF(B69="","",SUMIF('Stock OUT (Issue)'!$D$3:$D$302,B69,'Stock OUT (Issue)'!$G$3:$G$302))</f>
        <v/>
      </c>
      <c r="M69" s="19" t="str">
        <f t="shared" si="2"/>
        <v/>
      </c>
      <c r="N69" s="20" t="str">
        <f t="shared" si="3"/>
        <v/>
      </c>
      <c r="O69" s="14" t="str">
        <f t="shared" si="4"/>
        <v/>
      </c>
      <c r="P69" s="14"/>
      <c r="Q69" s="14"/>
    </row>
    <row r="70" ht="15.75" customHeight="1">
      <c r="A70" s="14" t="str">
        <f t="shared" si="1"/>
        <v/>
      </c>
      <c r="B70" s="14"/>
      <c r="C70" s="14"/>
      <c r="D70" s="14"/>
      <c r="E70" s="14"/>
      <c r="F70" s="14"/>
      <c r="G70" s="14"/>
      <c r="H70" s="19"/>
      <c r="I70" s="19"/>
      <c r="J70" s="19"/>
      <c r="K70" s="19" t="str">
        <f>IF(B70="","",SUMIF('Stock IN'!$C$3:$C$302,B70,'Stock IN'!$F$3:$F$302))</f>
        <v/>
      </c>
      <c r="L70" s="19" t="str">
        <f>IF(B70="","",SUMIF('Stock OUT (Issue)'!$D$3:$D$302,B70,'Stock OUT (Issue)'!$G$3:$G$302))</f>
        <v/>
      </c>
      <c r="M70" s="19" t="str">
        <f t="shared" si="2"/>
        <v/>
      </c>
      <c r="N70" s="20" t="str">
        <f t="shared" si="3"/>
        <v/>
      </c>
      <c r="O70" s="14" t="str">
        <f t="shared" si="4"/>
        <v/>
      </c>
      <c r="P70" s="14"/>
      <c r="Q70" s="14"/>
    </row>
    <row r="71" ht="15.75" customHeight="1">
      <c r="A71" s="14" t="str">
        <f t="shared" si="1"/>
        <v/>
      </c>
      <c r="B71" s="14"/>
      <c r="C71" s="14"/>
      <c r="D71" s="14"/>
      <c r="E71" s="14"/>
      <c r="F71" s="14"/>
      <c r="G71" s="14"/>
      <c r="H71" s="19"/>
      <c r="I71" s="19"/>
      <c r="J71" s="19"/>
      <c r="K71" s="19" t="str">
        <f>IF(B71="","",SUMIF('Stock IN'!$C$3:$C$302,B71,'Stock IN'!$F$3:$F$302))</f>
        <v/>
      </c>
      <c r="L71" s="19" t="str">
        <f>IF(B71="","",SUMIF('Stock OUT (Issue)'!$D$3:$D$302,B71,'Stock OUT (Issue)'!$G$3:$G$302))</f>
        <v/>
      </c>
      <c r="M71" s="19" t="str">
        <f t="shared" si="2"/>
        <v/>
      </c>
      <c r="N71" s="20" t="str">
        <f t="shared" si="3"/>
        <v/>
      </c>
      <c r="O71" s="14" t="str">
        <f t="shared" si="4"/>
        <v/>
      </c>
      <c r="P71" s="14"/>
      <c r="Q71" s="14"/>
    </row>
    <row r="72" ht="15.75" customHeight="1">
      <c r="A72" s="14" t="str">
        <f t="shared" si="1"/>
        <v/>
      </c>
      <c r="B72" s="14"/>
      <c r="C72" s="14"/>
      <c r="D72" s="14"/>
      <c r="E72" s="14"/>
      <c r="F72" s="14"/>
      <c r="G72" s="14"/>
      <c r="H72" s="19"/>
      <c r="I72" s="19"/>
      <c r="J72" s="19"/>
      <c r="K72" s="19" t="str">
        <f>IF(B72="","",SUMIF('Stock IN'!$C$3:$C$302,B72,'Stock IN'!$F$3:$F$302))</f>
        <v/>
      </c>
      <c r="L72" s="19" t="str">
        <f>IF(B72="","",SUMIF('Stock OUT (Issue)'!$D$3:$D$302,B72,'Stock OUT (Issue)'!$G$3:$G$302))</f>
        <v/>
      </c>
      <c r="M72" s="19" t="str">
        <f t="shared" si="2"/>
        <v/>
      </c>
      <c r="N72" s="20" t="str">
        <f t="shared" si="3"/>
        <v/>
      </c>
      <c r="O72" s="14" t="str">
        <f t="shared" si="4"/>
        <v/>
      </c>
      <c r="P72" s="14"/>
      <c r="Q72" s="14"/>
    </row>
    <row r="73" ht="15.75" customHeight="1">
      <c r="A73" s="14" t="str">
        <f t="shared" si="1"/>
        <v/>
      </c>
      <c r="B73" s="14"/>
      <c r="C73" s="14"/>
      <c r="D73" s="14"/>
      <c r="E73" s="14"/>
      <c r="F73" s="14"/>
      <c r="G73" s="14"/>
      <c r="H73" s="19"/>
      <c r="I73" s="19"/>
      <c r="J73" s="19"/>
      <c r="K73" s="19" t="str">
        <f>IF(B73="","",SUMIF('Stock IN'!$C$3:$C$302,B73,'Stock IN'!$F$3:$F$302))</f>
        <v/>
      </c>
      <c r="L73" s="19" t="str">
        <f>IF(B73="","",SUMIF('Stock OUT (Issue)'!$D$3:$D$302,B73,'Stock OUT (Issue)'!$G$3:$G$302))</f>
        <v/>
      </c>
      <c r="M73" s="19" t="str">
        <f t="shared" si="2"/>
        <v/>
      </c>
      <c r="N73" s="20" t="str">
        <f t="shared" si="3"/>
        <v/>
      </c>
      <c r="O73" s="14" t="str">
        <f t="shared" si="4"/>
        <v/>
      </c>
      <c r="P73" s="14"/>
      <c r="Q73" s="14"/>
    </row>
    <row r="74" ht="15.75" customHeight="1">
      <c r="A74" s="14" t="str">
        <f t="shared" si="1"/>
        <v/>
      </c>
      <c r="B74" s="14"/>
      <c r="C74" s="14"/>
      <c r="D74" s="14"/>
      <c r="E74" s="14"/>
      <c r="F74" s="14"/>
      <c r="G74" s="14"/>
      <c r="H74" s="19"/>
      <c r="I74" s="19"/>
      <c r="J74" s="19"/>
      <c r="K74" s="19" t="str">
        <f>IF(B74="","",SUMIF('Stock IN'!$C$3:$C$302,B74,'Stock IN'!$F$3:$F$302))</f>
        <v/>
      </c>
      <c r="L74" s="19" t="str">
        <f>IF(B74="","",SUMIF('Stock OUT (Issue)'!$D$3:$D$302,B74,'Stock OUT (Issue)'!$G$3:$G$302))</f>
        <v/>
      </c>
      <c r="M74" s="19" t="str">
        <f t="shared" si="2"/>
        <v/>
      </c>
      <c r="N74" s="20" t="str">
        <f t="shared" si="3"/>
        <v/>
      </c>
      <c r="O74" s="14" t="str">
        <f t="shared" si="4"/>
        <v/>
      </c>
      <c r="P74" s="14"/>
      <c r="Q74" s="14"/>
    </row>
    <row r="75" ht="15.75" customHeight="1">
      <c r="A75" s="14" t="str">
        <f t="shared" si="1"/>
        <v/>
      </c>
      <c r="B75" s="14"/>
      <c r="C75" s="14"/>
      <c r="D75" s="14"/>
      <c r="E75" s="14"/>
      <c r="F75" s="14"/>
      <c r="G75" s="14"/>
      <c r="H75" s="19"/>
      <c r="I75" s="19"/>
      <c r="J75" s="19"/>
      <c r="K75" s="19" t="str">
        <f>IF(B75="","",SUMIF('Stock IN'!$C$3:$C$302,B75,'Stock IN'!$F$3:$F$302))</f>
        <v/>
      </c>
      <c r="L75" s="19" t="str">
        <f>IF(B75="","",SUMIF('Stock OUT (Issue)'!$D$3:$D$302,B75,'Stock OUT (Issue)'!$G$3:$G$302))</f>
        <v/>
      </c>
      <c r="M75" s="19" t="str">
        <f t="shared" si="2"/>
        <v/>
      </c>
      <c r="N75" s="20" t="str">
        <f t="shared" si="3"/>
        <v/>
      </c>
      <c r="O75" s="14" t="str">
        <f t="shared" si="4"/>
        <v/>
      </c>
      <c r="P75" s="14"/>
      <c r="Q75" s="14"/>
    </row>
    <row r="76" ht="15.75" customHeight="1">
      <c r="A76" s="14" t="str">
        <f t="shared" si="1"/>
        <v/>
      </c>
      <c r="B76" s="14"/>
      <c r="C76" s="14"/>
      <c r="D76" s="14"/>
      <c r="E76" s="14"/>
      <c r="F76" s="14"/>
      <c r="G76" s="14"/>
      <c r="H76" s="19"/>
      <c r="I76" s="19"/>
      <c r="J76" s="19"/>
      <c r="K76" s="19" t="str">
        <f>IF(B76="","",SUMIF('Stock IN'!$C$3:$C$302,B76,'Stock IN'!$F$3:$F$302))</f>
        <v/>
      </c>
      <c r="L76" s="19" t="str">
        <f>IF(B76="","",SUMIF('Stock OUT (Issue)'!$D$3:$D$302,B76,'Stock OUT (Issue)'!$G$3:$G$302))</f>
        <v/>
      </c>
      <c r="M76" s="19" t="str">
        <f t="shared" si="2"/>
        <v/>
      </c>
      <c r="N76" s="20" t="str">
        <f t="shared" si="3"/>
        <v/>
      </c>
      <c r="O76" s="14" t="str">
        <f t="shared" si="4"/>
        <v/>
      </c>
      <c r="P76" s="14"/>
      <c r="Q76" s="14"/>
    </row>
    <row r="77" ht="15.75" customHeight="1">
      <c r="A77" s="14" t="str">
        <f t="shared" si="1"/>
        <v/>
      </c>
      <c r="B77" s="14"/>
      <c r="C77" s="14"/>
      <c r="D77" s="14"/>
      <c r="E77" s="14"/>
      <c r="F77" s="14"/>
      <c r="G77" s="14"/>
      <c r="H77" s="19"/>
      <c r="I77" s="19"/>
      <c r="J77" s="19"/>
      <c r="K77" s="19" t="str">
        <f>IF(B77="","",SUMIF('Stock IN'!$C$3:$C$302,B77,'Stock IN'!$F$3:$F$302))</f>
        <v/>
      </c>
      <c r="L77" s="19" t="str">
        <f>IF(B77="","",SUMIF('Stock OUT (Issue)'!$D$3:$D$302,B77,'Stock OUT (Issue)'!$G$3:$G$302))</f>
        <v/>
      </c>
      <c r="M77" s="19" t="str">
        <f t="shared" si="2"/>
        <v/>
      </c>
      <c r="N77" s="20" t="str">
        <f t="shared" si="3"/>
        <v/>
      </c>
      <c r="O77" s="14" t="str">
        <f t="shared" si="4"/>
        <v/>
      </c>
      <c r="P77" s="14"/>
      <c r="Q77" s="14"/>
    </row>
    <row r="78" ht="15.75" customHeight="1">
      <c r="A78" s="14" t="str">
        <f t="shared" si="1"/>
        <v/>
      </c>
      <c r="B78" s="14"/>
      <c r="C78" s="14"/>
      <c r="D78" s="14"/>
      <c r="E78" s="14"/>
      <c r="F78" s="14"/>
      <c r="G78" s="14"/>
      <c r="H78" s="19"/>
      <c r="I78" s="19"/>
      <c r="J78" s="19"/>
      <c r="K78" s="19" t="str">
        <f>IF(B78="","",SUMIF('Stock IN'!$C$3:$C$302,B78,'Stock IN'!$F$3:$F$302))</f>
        <v/>
      </c>
      <c r="L78" s="19" t="str">
        <f>IF(B78="","",SUMIF('Stock OUT (Issue)'!$D$3:$D$302,B78,'Stock OUT (Issue)'!$G$3:$G$302))</f>
        <v/>
      </c>
      <c r="M78" s="19" t="str">
        <f t="shared" si="2"/>
        <v/>
      </c>
      <c r="N78" s="20" t="str">
        <f t="shared" si="3"/>
        <v/>
      </c>
      <c r="O78" s="14" t="str">
        <f t="shared" si="4"/>
        <v/>
      </c>
      <c r="P78" s="14"/>
      <c r="Q78" s="14"/>
    </row>
    <row r="79" ht="15.75" customHeight="1">
      <c r="A79" s="14" t="str">
        <f t="shared" si="1"/>
        <v/>
      </c>
      <c r="B79" s="14"/>
      <c r="C79" s="14"/>
      <c r="D79" s="14"/>
      <c r="E79" s="14"/>
      <c r="F79" s="14"/>
      <c r="G79" s="14"/>
      <c r="H79" s="19"/>
      <c r="I79" s="19"/>
      <c r="J79" s="19"/>
      <c r="K79" s="19" t="str">
        <f>IF(B79="","",SUMIF('Stock IN'!$C$3:$C$302,B79,'Stock IN'!$F$3:$F$302))</f>
        <v/>
      </c>
      <c r="L79" s="19" t="str">
        <f>IF(B79="","",SUMIF('Stock OUT (Issue)'!$D$3:$D$302,B79,'Stock OUT (Issue)'!$G$3:$G$302))</f>
        <v/>
      </c>
      <c r="M79" s="19" t="str">
        <f t="shared" si="2"/>
        <v/>
      </c>
      <c r="N79" s="20" t="str">
        <f t="shared" si="3"/>
        <v/>
      </c>
      <c r="O79" s="14" t="str">
        <f t="shared" si="4"/>
        <v/>
      </c>
      <c r="P79" s="14"/>
      <c r="Q79" s="14"/>
    </row>
    <row r="80" ht="15.75" customHeight="1">
      <c r="A80" s="14" t="str">
        <f t="shared" si="1"/>
        <v/>
      </c>
      <c r="B80" s="14"/>
      <c r="C80" s="14"/>
      <c r="D80" s="14"/>
      <c r="E80" s="14"/>
      <c r="F80" s="14"/>
      <c r="G80" s="14"/>
      <c r="H80" s="19"/>
      <c r="I80" s="19"/>
      <c r="J80" s="19"/>
      <c r="K80" s="19" t="str">
        <f>IF(B80="","",SUMIF('Stock IN'!$C$3:$C$302,B80,'Stock IN'!$F$3:$F$302))</f>
        <v/>
      </c>
      <c r="L80" s="19" t="str">
        <f>IF(B80="","",SUMIF('Stock OUT (Issue)'!$D$3:$D$302,B80,'Stock OUT (Issue)'!$G$3:$G$302))</f>
        <v/>
      </c>
      <c r="M80" s="19" t="str">
        <f t="shared" si="2"/>
        <v/>
      </c>
      <c r="N80" s="20" t="str">
        <f t="shared" si="3"/>
        <v/>
      </c>
      <c r="O80" s="14" t="str">
        <f t="shared" si="4"/>
        <v/>
      </c>
      <c r="P80" s="14"/>
      <c r="Q80" s="14"/>
    </row>
    <row r="81" ht="15.75" customHeight="1">
      <c r="A81" s="14" t="str">
        <f t="shared" si="1"/>
        <v/>
      </c>
      <c r="B81" s="14"/>
      <c r="C81" s="14"/>
      <c r="D81" s="14"/>
      <c r="E81" s="14"/>
      <c r="F81" s="14"/>
      <c r="G81" s="14"/>
      <c r="H81" s="19"/>
      <c r="I81" s="19"/>
      <c r="J81" s="19"/>
      <c r="K81" s="19" t="str">
        <f>IF(B81="","",SUMIF('Stock IN'!$C$3:$C$302,B81,'Stock IN'!$F$3:$F$302))</f>
        <v/>
      </c>
      <c r="L81" s="19" t="str">
        <f>IF(B81="","",SUMIF('Stock OUT (Issue)'!$D$3:$D$302,B81,'Stock OUT (Issue)'!$G$3:$G$302))</f>
        <v/>
      </c>
      <c r="M81" s="19" t="str">
        <f t="shared" si="2"/>
        <v/>
      </c>
      <c r="N81" s="20" t="str">
        <f t="shared" si="3"/>
        <v/>
      </c>
      <c r="O81" s="14" t="str">
        <f t="shared" si="4"/>
        <v/>
      </c>
      <c r="P81" s="14"/>
      <c r="Q81" s="14"/>
    </row>
    <row r="82" ht="15.75" customHeight="1">
      <c r="A82" s="14" t="str">
        <f t="shared" si="1"/>
        <v/>
      </c>
      <c r="B82" s="14"/>
      <c r="C82" s="14"/>
      <c r="D82" s="14"/>
      <c r="E82" s="14"/>
      <c r="F82" s="14"/>
      <c r="G82" s="14"/>
      <c r="H82" s="19"/>
      <c r="I82" s="19"/>
      <c r="J82" s="19"/>
      <c r="K82" s="19" t="str">
        <f>IF(B82="","",SUMIF('Stock IN'!$C$3:$C$302,B82,'Stock IN'!$F$3:$F$302))</f>
        <v/>
      </c>
      <c r="L82" s="19" t="str">
        <f>IF(B82="","",SUMIF('Stock OUT (Issue)'!$D$3:$D$302,B82,'Stock OUT (Issue)'!$G$3:$G$302))</f>
        <v/>
      </c>
      <c r="M82" s="19" t="str">
        <f t="shared" si="2"/>
        <v/>
      </c>
      <c r="N82" s="20" t="str">
        <f t="shared" si="3"/>
        <v/>
      </c>
      <c r="O82" s="14" t="str">
        <f t="shared" si="4"/>
        <v/>
      </c>
      <c r="P82" s="14"/>
      <c r="Q82" s="14"/>
    </row>
    <row r="83" ht="15.75" customHeight="1">
      <c r="A83" s="14" t="str">
        <f t="shared" si="1"/>
        <v/>
      </c>
      <c r="B83" s="14"/>
      <c r="C83" s="14"/>
      <c r="D83" s="14"/>
      <c r="E83" s="14"/>
      <c r="F83" s="14"/>
      <c r="G83" s="14"/>
      <c r="H83" s="19"/>
      <c r="I83" s="19"/>
      <c r="J83" s="19"/>
      <c r="K83" s="19" t="str">
        <f>IF(B83="","",SUMIF('Stock IN'!$C$3:$C$302,B83,'Stock IN'!$F$3:$F$302))</f>
        <v/>
      </c>
      <c r="L83" s="19" t="str">
        <f>IF(B83="","",SUMIF('Stock OUT (Issue)'!$D$3:$D$302,B83,'Stock OUT (Issue)'!$G$3:$G$302))</f>
        <v/>
      </c>
      <c r="M83" s="19" t="str">
        <f t="shared" si="2"/>
        <v/>
      </c>
      <c r="N83" s="20" t="str">
        <f t="shared" si="3"/>
        <v/>
      </c>
      <c r="O83" s="14" t="str">
        <f t="shared" si="4"/>
        <v/>
      </c>
      <c r="P83" s="14"/>
      <c r="Q83" s="14"/>
    </row>
    <row r="84" ht="15.75" customHeight="1">
      <c r="A84" s="14" t="str">
        <f t="shared" si="1"/>
        <v/>
      </c>
      <c r="B84" s="14"/>
      <c r="C84" s="14"/>
      <c r="D84" s="14"/>
      <c r="E84" s="14"/>
      <c r="F84" s="14"/>
      <c r="G84" s="14"/>
      <c r="H84" s="19"/>
      <c r="I84" s="19"/>
      <c r="J84" s="19"/>
      <c r="K84" s="19" t="str">
        <f>IF(B84="","",SUMIF('Stock IN'!$C$3:$C$302,B84,'Stock IN'!$F$3:$F$302))</f>
        <v/>
      </c>
      <c r="L84" s="19" t="str">
        <f>IF(B84="","",SUMIF('Stock OUT (Issue)'!$D$3:$D$302,B84,'Stock OUT (Issue)'!$G$3:$G$302))</f>
        <v/>
      </c>
      <c r="M84" s="19" t="str">
        <f t="shared" si="2"/>
        <v/>
      </c>
      <c r="N84" s="20" t="str">
        <f t="shared" si="3"/>
        <v/>
      </c>
      <c r="O84" s="14" t="str">
        <f t="shared" si="4"/>
        <v/>
      </c>
      <c r="P84" s="14"/>
      <c r="Q84" s="14"/>
    </row>
    <row r="85" ht="15.75" customHeight="1">
      <c r="A85" s="14" t="str">
        <f t="shared" si="1"/>
        <v/>
      </c>
      <c r="B85" s="14"/>
      <c r="C85" s="14"/>
      <c r="D85" s="14"/>
      <c r="E85" s="14"/>
      <c r="F85" s="14"/>
      <c r="G85" s="14"/>
      <c r="H85" s="19"/>
      <c r="I85" s="19"/>
      <c r="J85" s="19"/>
      <c r="K85" s="19" t="str">
        <f>IF(B85="","",SUMIF('Stock IN'!$C$3:$C$302,B85,'Stock IN'!$F$3:$F$302))</f>
        <v/>
      </c>
      <c r="L85" s="19" t="str">
        <f>IF(B85="","",SUMIF('Stock OUT (Issue)'!$D$3:$D$302,B85,'Stock OUT (Issue)'!$G$3:$G$302))</f>
        <v/>
      </c>
      <c r="M85" s="19" t="str">
        <f t="shared" si="2"/>
        <v/>
      </c>
      <c r="N85" s="20" t="str">
        <f t="shared" si="3"/>
        <v/>
      </c>
      <c r="O85" s="14" t="str">
        <f t="shared" si="4"/>
        <v/>
      </c>
      <c r="P85" s="14"/>
      <c r="Q85" s="14"/>
    </row>
    <row r="86" ht="15.75" customHeight="1">
      <c r="A86" s="14" t="str">
        <f t="shared" si="1"/>
        <v/>
      </c>
      <c r="B86" s="14"/>
      <c r="C86" s="14"/>
      <c r="D86" s="14"/>
      <c r="E86" s="14"/>
      <c r="F86" s="14"/>
      <c r="G86" s="14"/>
      <c r="H86" s="19"/>
      <c r="I86" s="19"/>
      <c r="J86" s="19"/>
      <c r="K86" s="19" t="str">
        <f>IF(B86="","",SUMIF('Stock IN'!$C$3:$C$302,B86,'Stock IN'!$F$3:$F$302))</f>
        <v/>
      </c>
      <c r="L86" s="19" t="str">
        <f>IF(B86="","",SUMIF('Stock OUT (Issue)'!$D$3:$D$302,B86,'Stock OUT (Issue)'!$G$3:$G$302))</f>
        <v/>
      </c>
      <c r="M86" s="19" t="str">
        <f t="shared" si="2"/>
        <v/>
      </c>
      <c r="N86" s="20" t="str">
        <f t="shared" si="3"/>
        <v/>
      </c>
      <c r="O86" s="14" t="str">
        <f t="shared" si="4"/>
        <v/>
      </c>
      <c r="P86" s="14"/>
      <c r="Q86" s="14"/>
    </row>
    <row r="87" ht="15.75" customHeight="1">
      <c r="A87" s="14" t="str">
        <f t="shared" si="1"/>
        <v/>
      </c>
      <c r="B87" s="14"/>
      <c r="C87" s="14"/>
      <c r="D87" s="14"/>
      <c r="E87" s="14"/>
      <c r="F87" s="14"/>
      <c r="G87" s="14"/>
      <c r="H87" s="19"/>
      <c r="I87" s="19"/>
      <c r="J87" s="19"/>
      <c r="K87" s="19" t="str">
        <f>IF(B87="","",SUMIF('Stock IN'!$C$3:$C$302,B87,'Stock IN'!$F$3:$F$302))</f>
        <v/>
      </c>
      <c r="L87" s="19" t="str">
        <f>IF(B87="","",SUMIF('Stock OUT (Issue)'!$D$3:$D$302,B87,'Stock OUT (Issue)'!$G$3:$G$302))</f>
        <v/>
      </c>
      <c r="M87" s="19" t="str">
        <f t="shared" si="2"/>
        <v/>
      </c>
      <c r="N87" s="20" t="str">
        <f t="shared" si="3"/>
        <v/>
      </c>
      <c r="O87" s="14" t="str">
        <f t="shared" si="4"/>
        <v/>
      </c>
      <c r="P87" s="14"/>
      <c r="Q87" s="14"/>
    </row>
    <row r="88" ht="15.75" customHeight="1">
      <c r="A88" s="14" t="str">
        <f t="shared" si="1"/>
        <v/>
      </c>
      <c r="B88" s="14"/>
      <c r="C88" s="14"/>
      <c r="D88" s="14"/>
      <c r="E88" s="14"/>
      <c r="F88" s="14"/>
      <c r="G88" s="14"/>
      <c r="H88" s="19"/>
      <c r="I88" s="19"/>
      <c r="J88" s="19"/>
      <c r="K88" s="19" t="str">
        <f>IF(B88="","",SUMIF('Stock IN'!$C$3:$C$302,B88,'Stock IN'!$F$3:$F$302))</f>
        <v/>
      </c>
      <c r="L88" s="19" t="str">
        <f>IF(B88="","",SUMIF('Stock OUT (Issue)'!$D$3:$D$302,B88,'Stock OUT (Issue)'!$G$3:$G$302))</f>
        <v/>
      </c>
      <c r="M88" s="19" t="str">
        <f t="shared" si="2"/>
        <v/>
      </c>
      <c r="N88" s="20" t="str">
        <f t="shared" si="3"/>
        <v/>
      </c>
      <c r="O88" s="14" t="str">
        <f t="shared" si="4"/>
        <v/>
      </c>
      <c r="P88" s="14"/>
      <c r="Q88" s="14"/>
    </row>
    <row r="89" ht="15.75" customHeight="1">
      <c r="A89" s="14" t="str">
        <f t="shared" si="1"/>
        <v/>
      </c>
      <c r="B89" s="14"/>
      <c r="C89" s="14"/>
      <c r="D89" s="14"/>
      <c r="E89" s="14"/>
      <c r="F89" s="14"/>
      <c r="G89" s="14"/>
      <c r="H89" s="19"/>
      <c r="I89" s="19"/>
      <c r="J89" s="19"/>
      <c r="K89" s="19" t="str">
        <f>IF(B89="","",SUMIF('Stock IN'!$C$3:$C$302,B89,'Stock IN'!$F$3:$F$302))</f>
        <v/>
      </c>
      <c r="L89" s="19" t="str">
        <f>IF(B89="","",SUMIF('Stock OUT (Issue)'!$D$3:$D$302,B89,'Stock OUT (Issue)'!$G$3:$G$302))</f>
        <v/>
      </c>
      <c r="M89" s="19" t="str">
        <f t="shared" si="2"/>
        <v/>
      </c>
      <c r="N89" s="20" t="str">
        <f t="shared" si="3"/>
        <v/>
      </c>
      <c r="O89" s="14" t="str">
        <f t="shared" si="4"/>
        <v/>
      </c>
      <c r="P89" s="14"/>
      <c r="Q89" s="14"/>
    </row>
    <row r="90" ht="15.75" customHeight="1">
      <c r="A90" s="14" t="str">
        <f t="shared" si="1"/>
        <v/>
      </c>
      <c r="B90" s="14"/>
      <c r="C90" s="14"/>
      <c r="D90" s="14"/>
      <c r="E90" s="14"/>
      <c r="F90" s="14"/>
      <c r="G90" s="14"/>
      <c r="H90" s="19"/>
      <c r="I90" s="19"/>
      <c r="J90" s="19"/>
      <c r="K90" s="19" t="str">
        <f>IF(B90="","",SUMIF('Stock IN'!$C$3:$C$302,B90,'Stock IN'!$F$3:$F$302))</f>
        <v/>
      </c>
      <c r="L90" s="19" t="str">
        <f>IF(B90="","",SUMIF('Stock OUT (Issue)'!$D$3:$D$302,B90,'Stock OUT (Issue)'!$G$3:$G$302))</f>
        <v/>
      </c>
      <c r="M90" s="19" t="str">
        <f t="shared" si="2"/>
        <v/>
      </c>
      <c r="N90" s="20" t="str">
        <f t="shared" si="3"/>
        <v/>
      </c>
      <c r="O90" s="14" t="str">
        <f t="shared" si="4"/>
        <v/>
      </c>
      <c r="P90" s="14"/>
      <c r="Q90" s="14"/>
    </row>
    <row r="91" ht="15.75" customHeight="1">
      <c r="A91" s="14" t="str">
        <f t="shared" si="1"/>
        <v/>
      </c>
      <c r="B91" s="14"/>
      <c r="C91" s="14"/>
      <c r="D91" s="14"/>
      <c r="E91" s="14"/>
      <c r="F91" s="14"/>
      <c r="G91" s="14"/>
      <c r="H91" s="19"/>
      <c r="I91" s="19"/>
      <c r="J91" s="19"/>
      <c r="K91" s="19" t="str">
        <f>IF(B91="","",SUMIF('Stock IN'!$C$3:$C$302,B91,'Stock IN'!$F$3:$F$302))</f>
        <v/>
      </c>
      <c r="L91" s="19" t="str">
        <f>IF(B91="","",SUMIF('Stock OUT (Issue)'!$D$3:$D$302,B91,'Stock OUT (Issue)'!$G$3:$G$302))</f>
        <v/>
      </c>
      <c r="M91" s="19" t="str">
        <f t="shared" si="2"/>
        <v/>
      </c>
      <c r="N91" s="20" t="str">
        <f t="shared" si="3"/>
        <v/>
      </c>
      <c r="O91" s="14" t="str">
        <f t="shared" si="4"/>
        <v/>
      </c>
      <c r="P91" s="14"/>
      <c r="Q91" s="14"/>
    </row>
    <row r="92" ht="15.75" customHeight="1">
      <c r="A92" s="14" t="str">
        <f t="shared" si="1"/>
        <v/>
      </c>
      <c r="B92" s="14"/>
      <c r="C92" s="14"/>
      <c r="D92" s="14"/>
      <c r="E92" s="14"/>
      <c r="F92" s="14"/>
      <c r="G92" s="14"/>
      <c r="H92" s="19"/>
      <c r="I92" s="19"/>
      <c r="J92" s="19"/>
      <c r="K92" s="19" t="str">
        <f>IF(B92="","",SUMIF('Stock IN'!$C$3:$C$302,B92,'Stock IN'!$F$3:$F$302))</f>
        <v/>
      </c>
      <c r="L92" s="19" t="str">
        <f>IF(B92="","",SUMIF('Stock OUT (Issue)'!$D$3:$D$302,B92,'Stock OUT (Issue)'!$G$3:$G$302))</f>
        <v/>
      </c>
      <c r="M92" s="19" t="str">
        <f t="shared" si="2"/>
        <v/>
      </c>
      <c r="N92" s="20" t="str">
        <f t="shared" si="3"/>
        <v/>
      </c>
      <c r="O92" s="14" t="str">
        <f t="shared" si="4"/>
        <v/>
      </c>
      <c r="P92" s="14"/>
      <c r="Q92" s="14"/>
    </row>
    <row r="93" ht="15.75" customHeight="1">
      <c r="A93" s="14" t="str">
        <f t="shared" si="1"/>
        <v/>
      </c>
      <c r="B93" s="14"/>
      <c r="C93" s="14"/>
      <c r="D93" s="14"/>
      <c r="E93" s="14"/>
      <c r="F93" s="14"/>
      <c r="G93" s="14"/>
      <c r="H93" s="19"/>
      <c r="I93" s="19"/>
      <c r="J93" s="19"/>
      <c r="K93" s="19" t="str">
        <f>IF(B93="","",SUMIF('Stock IN'!$C$3:$C$302,B93,'Stock IN'!$F$3:$F$302))</f>
        <v/>
      </c>
      <c r="L93" s="19" t="str">
        <f>IF(B93="","",SUMIF('Stock OUT (Issue)'!$D$3:$D$302,B93,'Stock OUT (Issue)'!$G$3:$G$302))</f>
        <v/>
      </c>
      <c r="M93" s="19" t="str">
        <f t="shared" si="2"/>
        <v/>
      </c>
      <c r="N93" s="20" t="str">
        <f t="shared" si="3"/>
        <v/>
      </c>
      <c r="O93" s="14" t="str">
        <f t="shared" si="4"/>
        <v/>
      </c>
      <c r="P93" s="14"/>
      <c r="Q93" s="14"/>
    </row>
    <row r="94" ht="15.75" customHeight="1">
      <c r="A94" s="14" t="str">
        <f t="shared" si="1"/>
        <v/>
      </c>
      <c r="B94" s="14"/>
      <c r="C94" s="14"/>
      <c r="D94" s="14"/>
      <c r="E94" s="14"/>
      <c r="F94" s="14"/>
      <c r="G94" s="14"/>
      <c r="H94" s="19"/>
      <c r="I94" s="19"/>
      <c r="J94" s="19"/>
      <c r="K94" s="19" t="str">
        <f>IF(B94="","",SUMIF('Stock IN'!$C$3:$C$302,B94,'Stock IN'!$F$3:$F$302))</f>
        <v/>
      </c>
      <c r="L94" s="19" t="str">
        <f>IF(B94="","",SUMIF('Stock OUT (Issue)'!$D$3:$D$302,B94,'Stock OUT (Issue)'!$G$3:$G$302))</f>
        <v/>
      </c>
      <c r="M94" s="19" t="str">
        <f t="shared" si="2"/>
        <v/>
      </c>
      <c r="N94" s="20" t="str">
        <f t="shared" si="3"/>
        <v/>
      </c>
      <c r="O94" s="14" t="str">
        <f t="shared" si="4"/>
        <v/>
      </c>
      <c r="P94" s="14"/>
      <c r="Q94" s="14"/>
    </row>
    <row r="95" ht="15.75" customHeight="1">
      <c r="A95" s="14" t="str">
        <f t="shared" si="1"/>
        <v/>
      </c>
      <c r="B95" s="14"/>
      <c r="C95" s="14"/>
      <c r="D95" s="14"/>
      <c r="E95" s="14"/>
      <c r="F95" s="14"/>
      <c r="G95" s="14"/>
      <c r="H95" s="19"/>
      <c r="I95" s="19"/>
      <c r="J95" s="19"/>
      <c r="K95" s="19" t="str">
        <f>IF(B95="","",SUMIF('Stock IN'!$C$3:$C$302,B95,'Stock IN'!$F$3:$F$302))</f>
        <v/>
      </c>
      <c r="L95" s="19" t="str">
        <f>IF(B95="","",SUMIF('Stock OUT (Issue)'!$D$3:$D$302,B95,'Stock OUT (Issue)'!$G$3:$G$302))</f>
        <v/>
      </c>
      <c r="M95" s="19" t="str">
        <f t="shared" si="2"/>
        <v/>
      </c>
      <c r="N95" s="20" t="str">
        <f t="shared" si="3"/>
        <v/>
      </c>
      <c r="O95" s="14" t="str">
        <f t="shared" si="4"/>
        <v/>
      </c>
      <c r="P95" s="14"/>
      <c r="Q95" s="14"/>
    </row>
    <row r="96" ht="15.75" customHeight="1">
      <c r="A96" s="14" t="str">
        <f t="shared" si="1"/>
        <v/>
      </c>
      <c r="B96" s="14"/>
      <c r="C96" s="14"/>
      <c r="D96" s="14"/>
      <c r="E96" s="14"/>
      <c r="F96" s="14"/>
      <c r="G96" s="14"/>
      <c r="H96" s="19"/>
      <c r="I96" s="19"/>
      <c r="J96" s="19"/>
      <c r="K96" s="19" t="str">
        <f>IF(B96="","",SUMIF('Stock IN'!$C$3:$C$302,B96,'Stock IN'!$F$3:$F$302))</f>
        <v/>
      </c>
      <c r="L96" s="19" t="str">
        <f>IF(B96="","",SUMIF('Stock OUT (Issue)'!$D$3:$D$302,B96,'Stock OUT (Issue)'!$G$3:$G$302))</f>
        <v/>
      </c>
      <c r="M96" s="19" t="str">
        <f t="shared" si="2"/>
        <v/>
      </c>
      <c r="N96" s="20" t="str">
        <f t="shared" si="3"/>
        <v/>
      </c>
      <c r="O96" s="14" t="str">
        <f t="shared" si="4"/>
        <v/>
      </c>
      <c r="P96" s="14"/>
      <c r="Q96" s="14"/>
    </row>
    <row r="97" ht="15.75" customHeight="1">
      <c r="A97" s="14" t="str">
        <f t="shared" si="1"/>
        <v/>
      </c>
      <c r="B97" s="14"/>
      <c r="C97" s="14"/>
      <c r="D97" s="14"/>
      <c r="E97" s="14"/>
      <c r="F97" s="14"/>
      <c r="G97" s="14"/>
      <c r="H97" s="19"/>
      <c r="I97" s="19"/>
      <c r="J97" s="19"/>
      <c r="K97" s="19" t="str">
        <f>IF(B97="","",SUMIF('Stock IN'!$C$3:$C$302,B97,'Stock IN'!$F$3:$F$302))</f>
        <v/>
      </c>
      <c r="L97" s="19" t="str">
        <f>IF(B97="","",SUMIF('Stock OUT (Issue)'!$D$3:$D$302,B97,'Stock OUT (Issue)'!$G$3:$G$302))</f>
        <v/>
      </c>
      <c r="M97" s="19" t="str">
        <f t="shared" si="2"/>
        <v/>
      </c>
      <c r="N97" s="20" t="str">
        <f t="shared" si="3"/>
        <v/>
      </c>
      <c r="O97" s="14" t="str">
        <f t="shared" si="4"/>
        <v/>
      </c>
      <c r="P97" s="14"/>
      <c r="Q97" s="14"/>
    </row>
    <row r="98" ht="15.75" customHeight="1">
      <c r="A98" s="14" t="str">
        <f t="shared" si="1"/>
        <v/>
      </c>
      <c r="B98" s="14"/>
      <c r="C98" s="14"/>
      <c r="D98" s="14"/>
      <c r="E98" s="14"/>
      <c r="F98" s="14"/>
      <c r="G98" s="14"/>
      <c r="H98" s="19"/>
      <c r="I98" s="19"/>
      <c r="J98" s="19"/>
      <c r="K98" s="19" t="str">
        <f>IF(B98="","",SUMIF('Stock IN'!$C$3:$C$302,B98,'Stock IN'!$F$3:$F$302))</f>
        <v/>
      </c>
      <c r="L98" s="19" t="str">
        <f>IF(B98="","",SUMIF('Stock OUT (Issue)'!$D$3:$D$302,B98,'Stock OUT (Issue)'!$G$3:$G$302))</f>
        <v/>
      </c>
      <c r="M98" s="19" t="str">
        <f t="shared" si="2"/>
        <v/>
      </c>
      <c r="N98" s="20" t="str">
        <f t="shared" si="3"/>
        <v/>
      </c>
      <c r="O98" s="14" t="str">
        <f t="shared" si="4"/>
        <v/>
      </c>
      <c r="P98" s="14"/>
      <c r="Q98" s="14"/>
    </row>
    <row r="99" ht="15.75" customHeight="1">
      <c r="A99" s="14" t="str">
        <f t="shared" si="1"/>
        <v/>
      </c>
      <c r="B99" s="14"/>
      <c r="C99" s="14"/>
      <c r="D99" s="14"/>
      <c r="E99" s="14"/>
      <c r="F99" s="14"/>
      <c r="G99" s="14"/>
      <c r="H99" s="19"/>
      <c r="I99" s="19"/>
      <c r="J99" s="19"/>
      <c r="K99" s="19" t="str">
        <f>IF(B99="","",SUMIF('Stock IN'!$C$3:$C$302,B99,'Stock IN'!$F$3:$F$302))</f>
        <v/>
      </c>
      <c r="L99" s="19" t="str">
        <f>IF(B99="","",SUMIF('Stock OUT (Issue)'!$D$3:$D$302,B99,'Stock OUT (Issue)'!$G$3:$G$302))</f>
        <v/>
      </c>
      <c r="M99" s="19" t="str">
        <f t="shared" si="2"/>
        <v/>
      </c>
      <c r="N99" s="20" t="str">
        <f t="shared" si="3"/>
        <v/>
      </c>
      <c r="O99" s="14" t="str">
        <f t="shared" si="4"/>
        <v/>
      </c>
      <c r="P99" s="14"/>
      <c r="Q99" s="14"/>
    </row>
    <row r="100" ht="15.75" customHeight="1">
      <c r="A100" s="14" t="str">
        <f t="shared" si="1"/>
        <v/>
      </c>
      <c r="B100" s="14"/>
      <c r="C100" s="14"/>
      <c r="D100" s="14"/>
      <c r="E100" s="14"/>
      <c r="F100" s="14"/>
      <c r="G100" s="14"/>
      <c r="H100" s="19"/>
      <c r="I100" s="19"/>
      <c r="J100" s="19"/>
      <c r="K100" s="19" t="str">
        <f>IF(B100="","",SUMIF('Stock IN'!$C$3:$C$302,B100,'Stock IN'!$F$3:$F$302))</f>
        <v/>
      </c>
      <c r="L100" s="19" t="str">
        <f>IF(B100="","",SUMIF('Stock OUT (Issue)'!$D$3:$D$302,B100,'Stock OUT (Issue)'!$G$3:$G$302))</f>
        <v/>
      </c>
      <c r="M100" s="19" t="str">
        <f t="shared" si="2"/>
        <v/>
      </c>
      <c r="N100" s="20" t="str">
        <f t="shared" si="3"/>
        <v/>
      </c>
      <c r="O100" s="14" t="str">
        <f t="shared" si="4"/>
        <v/>
      </c>
      <c r="P100" s="14"/>
      <c r="Q100" s="14"/>
    </row>
    <row r="101" ht="15.75" customHeight="1">
      <c r="A101" s="14" t="str">
        <f t="shared" si="1"/>
        <v/>
      </c>
      <c r="B101" s="14"/>
      <c r="C101" s="14"/>
      <c r="D101" s="14"/>
      <c r="E101" s="14"/>
      <c r="F101" s="14"/>
      <c r="G101" s="14"/>
      <c r="H101" s="19"/>
      <c r="I101" s="19"/>
      <c r="J101" s="19"/>
      <c r="K101" s="19" t="str">
        <f>IF(B101="","",SUMIF('Stock IN'!$C$3:$C$302,B101,'Stock IN'!$F$3:$F$302))</f>
        <v/>
      </c>
      <c r="L101" s="19" t="str">
        <f>IF(B101="","",SUMIF('Stock OUT (Issue)'!$D$3:$D$302,B101,'Stock OUT (Issue)'!$G$3:$G$302))</f>
        <v/>
      </c>
      <c r="M101" s="19" t="str">
        <f t="shared" si="2"/>
        <v/>
      </c>
      <c r="N101" s="20" t="str">
        <f t="shared" si="3"/>
        <v/>
      </c>
      <c r="O101" s="14" t="str">
        <f t="shared" si="4"/>
        <v/>
      </c>
      <c r="P101" s="14"/>
      <c r="Q101" s="14"/>
    </row>
    <row r="102" ht="15.75" customHeight="1">
      <c r="A102" s="14" t="str">
        <f t="shared" si="1"/>
        <v/>
      </c>
      <c r="B102" s="14"/>
      <c r="C102" s="14"/>
      <c r="D102" s="14"/>
      <c r="E102" s="14"/>
      <c r="F102" s="14"/>
      <c r="G102" s="14"/>
      <c r="H102" s="19"/>
      <c r="I102" s="19"/>
      <c r="J102" s="19"/>
      <c r="K102" s="19" t="str">
        <f>IF(B102="","",SUMIF('Stock IN'!$C$3:$C$302,B102,'Stock IN'!$F$3:$F$302))</f>
        <v/>
      </c>
      <c r="L102" s="19" t="str">
        <f>IF(B102="","",SUMIF('Stock OUT (Issue)'!$D$3:$D$302,B102,'Stock OUT (Issue)'!$G$3:$G$302))</f>
        <v/>
      </c>
      <c r="M102" s="19" t="str">
        <f t="shared" si="2"/>
        <v/>
      </c>
      <c r="N102" s="20" t="str">
        <f t="shared" si="3"/>
        <v/>
      </c>
      <c r="O102" s="14" t="str">
        <f t="shared" si="4"/>
        <v/>
      </c>
      <c r="P102" s="14"/>
      <c r="Q102" s="14"/>
    </row>
    <row r="103" ht="15.75" customHeight="1">
      <c r="A103" s="14" t="str">
        <f t="shared" si="1"/>
        <v/>
      </c>
      <c r="B103" s="14"/>
      <c r="C103" s="14"/>
      <c r="D103" s="14"/>
      <c r="E103" s="14"/>
      <c r="F103" s="14"/>
      <c r="G103" s="14"/>
      <c r="H103" s="19"/>
      <c r="I103" s="19"/>
      <c r="J103" s="19"/>
      <c r="K103" s="19" t="str">
        <f>IF(B103="","",SUMIF('Stock IN'!$C$3:$C$302,B103,'Stock IN'!$F$3:$F$302))</f>
        <v/>
      </c>
      <c r="L103" s="19" t="str">
        <f>IF(B103="","",SUMIF('Stock OUT (Issue)'!$D$3:$D$302,B103,'Stock OUT (Issue)'!$G$3:$G$302))</f>
        <v/>
      </c>
      <c r="M103" s="19" t="str">
        <f t="shared" si="2"/>
        <v/>
      </c>
      <c r="N103" s="20" t="str">
        <f t="shared" si="3"/>
        <v/>
      </c>
      <c r="O103" s="14" t="str">
        <f t="shared" si="4"/>
        <v/>
      </c>
      <c r="P103" s="14"/>
      <c r="Q103" s="14"/>
    </row>
    <row r="104" ht="15.75" customHeight="1">
      <c r="A104" s="14" t="str">
        <f t="shared" si="1"/>
        <v/>
      </c>
      <c r="B104" s="14"/>
      <c r="C104" s="14"/>
      <c r="D104" s="14"/>
      <c r="E104" s="14"/>
      <c r="F104" s="14"/>
      <c r="G104" s="14"/>
      <c r="H104" s="19"/>
      <c r="I104" s="19"/>
      <c r="J104" s="19"/>
      <c r="K104" s="19" t="str">
        <f>IF(B104="","",SUMIF('Stock IN'!$C$3:$C$302,B104,'Stock IN'!$F$3:$F$302))</f>
        <v/>
      </c>
      <c r="L104" s="19" t="str">
        <f>IF(B104="","",SUMIF('Stock OUT (Issue)'!$D$3:$D$302,B104,'Stock OUT (Issue)'!$G$3:$G$302))</f>
        <v/>
      </c>
      <c r="M104" s="19" t="str">
        <f t="shared" si="2"/>
        <v/>
      </c>
      <c r="N104" s="20" t="str">
        <f t="shared" si="3"/>
        <v/>
      </c>
      <c r="O104" s="14" t="str">
        <f t="shared" si="4"/>
        <v/>
      </c>
      <c r="P104" s="14"/>
      <c r="Q104" s="14"/>
    </row>
    <row r="105" ht="15.75" customHeight="1">
      <c r="A105" s="14" t="str">
        <f t="shared" si="1"/>
        <v/>
      </c>
      <c r="B105" s="14"/>
      <c r="C105" s="14"/>
      <c r="D105" s="14"/>
      <c r="E105" s="14"/>
      <c r="F105" s="14"/>
      <c r="G105" s="14"/>
      <c r="H105" s="19"/>
      <c r="I105" s="19"/>
      <c r="J105" s="19"/>
      <c r="K105" s="19" t="str">
        <f>IF(B105="","",SUMIF('Stock IN'!$C$3:$C$302,B105,'Stock IN'!$F$3:$F$302))</f>
        <v/>
      </c>
      <c r="L105" s="19" t="str">
        <f>IF(B105="","",SUMIF('Stock OUT (Issue)'!$D$3:$D$302,B105,'Stock OUT (Issue)'!$G$3:$G$302))</f>
        <v/>
      </c>
      <c r="M105" s="19" t="str">
        <f t="shared" si="2"/>
        <v/>
      </c>
      <c r="N105" s="20" t="str">
        <f t="shared" si="3"/>
        <v/>
      </c>
      <c r="O105" s="14" t="str">
        <f t="shared" si="4"/>
        <v/>
      </c>
      <c r="P105" s="14"/>
      <c r="Q105" s="14"/>
    </row>
    <row r="106" ht="15.75" customHeight="1">
      <c r="A106" s="14" t="str">
        <f t="shared" si="1"/>
        <v/>
      </c>
      <c r="B106" s="14"/>
      <c r="C106" s="14"/>
      <c r="D106" s="14"/>
      <c r="E106" s="14"/>
      <c r="F106" s="14"/>
      <c r="G106" s="14"/>
      <c r="H106" s="19"/>
      <c r="I106" s="19"/>
      <c r="J106" s="19"/>
      <c r="K106" s="19" t="str">
        <f>IF(B106="","",SUMIF('Stock IN'!$C$3:$C$302,B106,'Stock IN'!$F$3:$F$302))</f>
        <v/>
      </c>
      <c r="L106" s="19" t="str">
        <f>IF(B106="","",SUMIF('Stock OUT (Issue)'!$D$3:$D$302,B106,'Stock OUT (Issue)'!$G$3:$G$302))</f>
        <v/>
      </c>
      <c r="M106" s="19" t="str">
        <f t="shared" si="2"/>
        <v/>
      </c>
      <c r="N106" s="20" t="str">
        <f t="shared" si="3"/>
        <v/>
      </c>
      <c r="O106" s="14" t="str">
        <f t="shared" si="4"/>
        <v/>
      </c>
      <c r="P106" s="14"/>
      <c r="Q106" s="14"/>
    </row>
    <row r="107" ht="15.75" customHeight="1">
      <c r="A107" s="14" t="str">
        <f t="shared" si="1"/>
        <v/>
      </c>
      <c r="B107" s="14"/>
      <c r="C107" s="14"/>
      <c r="D107" s="14"/>
      <c r="E107" s="14"/>
      <c r="F107" s="14"/>
      <c r="G107" s="14"/>
      <c r="H107" s="19"/>
      <c r="I107" s="19"/>
      <c r="J107" s="19"/>
      <c r="K107" s="19" t="str">
        <f>IF(B107="","",SUMIF('Stock IN'!$C$3:$C$302,B107,'Stock IN'!$F$3:$F$302))</f>
        <v/>
      </c>
      <c r="L107" s="19" t="str">
        <f>IF(B107="","",SUMIF('Stock OUT (Issue)'!$D$3:$D$302,B107,'Stock OUT (Issue)'!$G$3:$G$302))</f>
        <v/>
      </c>
      <c r="M107" s="19" t="str">
        <f t="shared" si="2"/>
        <v/>
      </c>
      <c r="N107" s="20" t="str">
        <f t="shared" si="3"/>
        <v/>
      </c>
      <c r="O107" s="14" t="str">
        <f t="shared" si="4"/>
        <v/>
      </c>
      <c r="P107" s="14"/>
      <c r="Q107" s="14"/>
    </row>
    <row r="108" ht="15.75" customHeight="1">
      <c r="A108" s="14" t="str">
        <f t="shared" si="1"/>
        <v/>
      </c>
      <c r="B108" s="14"/>
      <c r="C108" s="14"/>
      <c r="D108" s="14"/>
      <c r="E108" s="14"/>
      <c r="F108" s="14"/>
      <c r="G108" s="14"/>
      <c r="H108" s="19"/>
      <c r="I108" s="19"/>
      <c r="J108" s="19"/>
      <c r="K108" s="19" t="str">
        <f>IF(B108="","",SUMIF('Stock IN'!$C$3:$C$302,B108,'Stock IN'!$F$3:$F$302))</f>
        <v/>
      </c>
      <c r="L108" s="19" t="str">
        <f>IF(B108="","",SUMIF('Stock OUT (Issue)'!$D$3:$D$302,B108,'Stock OUT (Issue)'!$G$3:$G$302))</f>
        <v/>
      </c>
      <c r="M108" s="19" t="str">
        <f t="shared" si="2"/>
        <v/>
      </c>
      <c r="N108" s="20" t="str">
        <f t="shared" si="3"/>
        <v/>
      </c>
      <c r="O108" s="14" t="str">
        <f t="shared" si="4"/>
        <v/>
      </c>
      <c r="P108" s="14"/>
      <c r="Q108" s="14"/>
    </row>
    <row r="109" ht="15.75" customHeight="1">
      <c r="A109" s="14" t="str">
        <f t="shared" si="1"/>
        <v/>
      </c>
      <c r="B109" s="14"/>
      <c r="C109" s="14"/>
      <c r="D109" s="14"/>
      <c r="E109" s="14"/>
      <c r="F109" s="14"/>
      <c r="G109" s="14"/>
      <c r="H109" s="19"/>
      <c r="I109" s="19"/>
      <c r="J109" s="19"/>
      <c r="K109" s="19" t="str">
        <f>IF(B109="","",SUMIF('Stock IN'!$C$3:$C$302,B109,'Stock IN'!$F$3:$F$302))</f>
        <v/>
      </c>
      <c r="L109" s="19" t="str">
        <f>IF(B109="","",SUMIF('Stock OUT (Issue)'!$D$3:$D$302,B109,'Stock OUT (Issue)'!$G$3:$G$302))</f>
        <v/>
      </c>
      <c r="M109" s="19" t="str">
        <f t="shared" si="2"/>
        <v/>
      </c>
      <c r="N109" s="20" t="str">
        <f t="shared" si="3"/>
        <v/>
      </c>
      <c r="O109" s="14" t="str">
        <f t="shared" si="4"/>
        <v/>
      </c>
      <c r="P109" s="14"/>
      <c r="Q109" s="14"/>
    </row>
    <row r="110" ht="15.75" customHeight="1">
      <c r="A110" s="14" t="str">
        <f t="shared" si="1"/>
        <v/>
      </c>
      <c r="B110" s="14"/>
      <c r="C110" s="14"/>
      <c r="D110" s="14"/>
      <c r="E110" s="14"/>
      <c r="F110" s="14"/>
      <c r="G110" s="14"/>
      <c r="H110" s="19"/>
      <c r="I110" s="19"/>
      <c r="J110" s="19"/>
      <c r="K110" s="19" t="str">
        <f>IF(B110="","",SUMIF('Stock IN'!$C$3:$C$302,B110,'Stock IN'!$F$3:$F$302))</f>
        <v/>
      </c>
      <c r="L110" s="19" t="str">
        <f>IF(B110="","",SUMIF('Stock OUT (Issue)'!$D$3:$D$302,B110,'Stock OUT (Issue)'!$G$3:$G$302))</f>
        <v/>
      </c>
      <c r="M110" s="19" t="str">
        <f t="shared" si="2"/>
        <v/>
      </c>
      <c r="N110" s="20" t="str">
        <f t="shared" si="3"/>
        <v/>
      </c>
      <c r="O110" s="14" t="str">
        <f t="shared" si="4"/>
        <v/>
      </c>
      <c r="P110" s="14"/>
      <c r="Q110" s="14"/>
    </row>
    <row r="111" ht="15.75" customHeight="1">
      <c r="A111" s="14" t="str">
        <f t="shared" si="1"/>
        <v/>
      </c>
      <c r="B111" s="14"/>
      <c r="C111" s="14"/>
      <c r="D111" s="14"/>
      <c r="E111" s="14"/>
      <c r="F111" s="14"/>
      <c r="G111" s="14"/>
      <c r="H111" s="19"/>
      <c r="I111" s="19"/>
      <c r="J111" s="19"/>
      <c r="K111" s="19" t="str">
        <f>IF(B111="","",SUMIF('Stock IN'!$C$3:$C$302,B111,'Stock IN'!$F$3:$F$302))</f>
        <v/>
      </c>
      <c r="L111" s="19" t="str">
        <f>IF(B111="","",SUMIF('Stock OUT (Issue)'!$D$3:$D$302,B111,'Stock OUT (Issue)'!$G$3:$G$302))</f>
        <v/>
      </c>
      <c r="M111" s="19" t="str">
        <f t="shared" si="2"/>
        <v/>
      </c>
      <c r="N111" s="20" t="str">
        <f t="shared" si="3"/>
        <v/>
      </c>
      <c r="O111" s="14" t="str">
        <f t="shared" si="4"/>
        <v/>
      </c>
      <c r="P111" s="14"/>
      <c r="Q111" s="14"/>
    </row>
    <row r="112" ht="15.75" customHeight="1">
      <c r="A112" s="14" t="str">
        <f t="shared" si="1"/>
        <v/>
      </c>
      <c r="B112" s="14"/>
      <c r="C112" s="14"/>
      <c r="D112" s="14"/>
      <c r="E112" s="14"/>
      <c r="F112" s="14"/>
      <c r="G112" s="14"/>
      <c r="H112" s="19"/>
      <c r="I112" s="19"/>
      <c r="J112" s="19"/>
      <c r="K112" s="19" t="str">
        <f>IF(B112="","",SUMIF('Stock IN'!$C$3:$C$302,B112,'Stock IN'!$F$3:$F$302))</f>
        <v/>
      </c>
      <c r="L112" s="19" t="str">
        <f>IF(B112="","",SUMIF('Stock OUT (Issue)'!$D$3:$D$302,B112,'Stock OUT (Issue)'!$G$3:$G$302))</f>
        <v/>
      </c>
      <c r="M112" s="19" t="str">
        <f t="shared" si="2"/>
        <v/>
      </c>
      <c r="N112" s="20" t="str">
        <f t="shared" si="3"/>
        <v/>
      </c>
      <c r="O112" s="14" t="str">
        <f t="shared" si="4"/>
        <v/>
      </c>
      <c r="P112" s="14"/>
      <c r="Q112" s="14"/>
    </row>
    <row r="113" ht="15.75" customHeight="1">
      <c r="A113" s="14" t="str">
        <f t="shared" si="1"/>
        <v/>
      </c>
      <c r="B113" s="14"/>
      <c r="C113" s="14"/>
      <c r="D113" s="14"/>
      <c r="E113" s="14"/>
      <c r="F113" s="14"/>
      <c r="G113" s="14"/>
      <c r="H113" s="19"/>
      <c r="I113" s="19"/>
      <c r="J113" s="19"/>
      <c r="K113" s="19" t="str">
        <f>IF(B113="","",SUMIF('Stock IN'!$C$3:$C$302,B113,'Stock IN'!$F$3:$F$302))</f>
        <v/>
      </c>
      <c r="L113" s="19" t="str">
        <f>IF(B113="","",SUMIF('Stock OUT (Issue)'!$D$3:$D$302,B113,'Stock OUT (Issue)'!$G$3:$G$302))</f>
        <v/>
      </c>
      <c r="M113" s="19" t="str">
        <f t="shared" si="2"/>
        <v/>
      </c>
      <c r="N113" s="20" t="str">
        <f t="shared" si="3"/>
        <v/>
      </c>
      <c r="O113" s="14" t="str">
        <f t="shared" si="4"/>
        <v/>
      </c>
      <c r="P113" s="14"/>
      <c r="Q113" s="14"/>
    </row>
    <row r="114" ht="15.75" customHeight="1">
      <c r="A114" s="14" t="str">
        <f t="shared" si="1"/>
        <v/>
      </c>
      <c r="B114" s="14"/>
      <c r="C114" s="14"/>
      <c r="D114" s="14"/>
      <c r="E114" s="14"/>
      <c r="F114" s="14"/>
      <c r="G114" s="14"/>
      <c r="H114" s="19"/>
      <c r="I114" s="19"/>
      <c r="J114" s="19"/>
      <c r="K114" s="19" t="str">
        <f>IF(B114="","",SUMIF('Stock IN'!$C$3:$C$302,B114,'Stock IN'!$F$3:$F$302))</f>
        <v/>
      </c>
      <c r="L114" s="19" t="str">
        <f>IF(B114="","",SUMIF('Stock OUT (Issue)'!$D$3:$D$302,B114,'Stock OUT (Issue)'!$G$3:$G$302))</f>
        <v/>
      </c>
      <c r="M114" s="19" t="str">
        <f t="shared" si="2"/>
        <v/>
      </c>
      <c r="N114" s="20" t="str">
        <f t="shared" si="3"/>
        <v/>
      </c>
      <c r="O114" s="14" t="str">
        <f t="shared" si="4"/>
        <v/>
      </c>
      <c r="P114" s="14"/>
      <c r="Q114" s="14"/>
    </row>
    <row r="115" ht="15.75" customHeight="1">
      <c r="A115" s="14" t="str">
        <f t="shared" si="1"/>
        <v/>
      </c>
      <c r="B115" s="14"/>
      <c r="C115" s="14"/>
      <c r="D115" s="14"/>
      <c r="E115" s="14"/>
      <c r="F115" s="14"/>
      <c r="G115" s="14"/>
      <c r="H115" s="19"/>
      <c r="I115" s="19"/>
      <c r="J115" s="19"/>
      <c r="K115" s="19" t="str">
        <f>IF(B115="","",SUMIF('Stock IN'!$C$3:$C$302,B115,'Stock IN'!$F$3:$F$302))</f>
        <v/>
      </c>
      <c r="L115" s="19" t="str">
        <f>IF(B115="","",SUMIF('Stock OUT (Issue)'!$D$3:$D$302,B115,'Stock OUT (Issue)'!$G$3:$G$302))</f>
        <v/>
      </c>
      <c r="M115" s="19" t="str">
        <f t="shared" si="2"/>
        <v/>
      </c>
      <c r="N115" s="20" t="str">
        <f t="shared" si="3"/>
        <v/>
      </c>
      <c r="O115" s="14" t="str">
        <f t="shared" si="4"/>
        <v/>
      </c>
      <c r="P115" s="14"/>
      <c r="Q115" s="14"/>
    </row>
    <row r="116" ht="15.75" customHeight="1">
      <c r="A116" s="14" t="str">
        <f t="shared" si="1"/>
        <v/>
      </c>
      <c r="B116" s="14"/>
      <c r="C116" s="14"/>
      <c r="D116" s="14"/>
      <c r="E116" s="14"/>
      <c r="F116" s="14"/>
      <c r="G116" s="14"/>
      <c r="H116" s="19"/>
      <c r="I116" s="19"/>
      <c r="J116" s="19"/>
      <c r="K116" s="19" t="str">
        <f>IF(B116="","",SUMIF('Stock IN'!$C$3:$C$302,B116,'Stock IN'!$F$3:$F$302))</f>
        <v/>
      </c>
      <c r="L116" s="19" t="str">
        <f>IF(B116="","",SUMIF('Stock OUT (Issue)'!$D$3:$D$302,B116,'Stock OUT (Issue)'!$G$3:$G$302))</f>
        <v/>
      </c>
      <c r="M116" s="19" t="str">
        <f t="shared" si="2"/>
        <v/>
      </c>
      <c r="N116" s="20" t="str">
        <f t="shared" si="3"/>
        <v/>
      </c>
      <c r="O116" s="14" t="str">
        <f t="shared" si="4"/>
        <v/>
      </c>
      <c r="P116" s="14"/>
      <c r="Q116" s="14"/>
    </row>
    <row r="117" ht="15.75" customHeight="1">
      <c r="A117" s="14" t="str">
        <f t="shared" si="1"/>
        <v/>
      </c>
      <c r="B117" s="14"/>
      <c r="C117" s="14"/>
      <c r="D117" s="14"/>
      <c r="E117" s="14"/>
      <c r="F117" s="14"/>
      <c r="G117" s="14"/>
      <c r="H117" s="19"/>
      <c r="I117" s="19"/>
      <c r="J117" s="19"/>
      <c r="K117" s="19" t="str">
        <f>IF(B117="","",SUMIF('Stock IN'!$C$3:$C$302,B117,'Stock IN'!$F$3:$F$302))</f>
        <v/>
      </c>
      <c r="L117" s="19" t="str">
        <f>IF(B117="","",SUMIF('Stock OUT (Issue)'!$D$3:$D$302,B117,'Stock OUT (Issue)'!$G$3:$G$302))</f>
        <v/>
      </c>
      <c r="M117" s="19" t="str">
        <f t="shared" si="2"/>
        <v/>
      </c>
      <c r="N117" s="20" t="str">
        <f t="shared" si="3"/>
        <v/>
      </c>
      <c r="O117" s="14" t="str">
        <f t="shared" si="4"/>
        <v/>
      </c>
      <c r="P117" s="14"/>
      <c r="Q117" s="14"/>
    </row>
    <row r="118" ht="15.75" customHeight="1">
      <c r="A118" s="14" t="str">
        <f t="shared" si="1"/>
        <v/>
      </c>
      <c r="B118" s="14"/>
      <c r="C118" s="14"/>
      <c r="D118" s="14"/>
      <c r="E118" s="14"/>
      <c r="F118" s="14"/>
      <c r="G118" s="14"/>
      <c r="H118" s="19"/>
      <c r="I118" s="19"/>
      <c r="J118" s="19"/>
      <c r="K118" s="19" t="str">
        <f>IF(B118="","",SUMIF('Stock IN'!$C$3:$C$302,B118,'Stock IN'!$F$3:$F$302))</f>
        <v/>
      </c>
      <c r="L118" s="19" t="str">
        <f>IF(B118="","",SUMIF('Stock OUT (Issue)'!$D$3:$D$302,B118,'Stock OUT (Issue)'!$G$3:$G$302))</f>
        <v/>
      </c>
      <c r="M118" s="19" t="str">
        <f t="shared" si="2"/>
        <v/>
      </c>
      <c r="N118" s="20" t="str">
        <f t="shared" si="3"/>
        <v/>
      </c>
      <c r="O118" s="14" t="str">
        <f t="shared" si="4"/>
        <v/>
      </c>
      <c r="P118" s="14"/>
      <c r="Q118" s="14"/>
    </row>
    <row r="119" ht="15.75" customHeight="1">
      <c r="A119" s="14" t="str">
        <f t="shared" si="1"/>
        <v/>
      </c>
      <c r="B119" s="14"/>
      <c r="C119" s="14"/>
      <c r="D119" s="14"/>
      <c r="E119" s="14"/>
      <c r="F119" s="14"/>
      <c r="G119" s="14"/>
      <c r="H119" s="19"/>
      <c r="I119" s="19"/>
      <c r="J119" s="19"/>
      <c r="K119" s="19" t="str">
        <f>IF(B119="","",SUMIF('Stock IN'!$C$3:$C$302,B119,'Stock IN'!$F$3:$F$302))</f>
        <v/>
      </c>
      <c r="L119" s="19" t="str">
        <f>IF(B119="","",SUMIF('Stock OUT (Issue)'!$D$3:$D$302,B119,'Stock OUT (Issue)'!$G$3:$G$302))</f>
        <v/>
      </c>
      <c r="M119" s="19" t="str">
        <f t="shared" si="2"/>
        <v/>
      </c>
      <c r="N119" s="20" t="str">
        <f t="shared" si="3"/>
        <v/>
      </c>
      <c r="O119" s="14" t="str">
        <f t="shared" si="4"/>
        <v/>
      </c>
      <c r="P119" s="14"/>
      <c r="Q119" s="14"/>
    </row>
    <row r="120" ht="15.75" customHeight="1">
      <c r="A120" s="14" t="str">
        <f t="shared" si="1"/>
        <v/>
      </c>
      <c r="B120" s="14"/>
      <c r="C120" s="14"/>
      <c r="D120" s="14"/>
      <c r="E120" s="14"/>
      <c r="F120" s="14"/>
      <c r="G120" s="14"/>
      <c r="H120" s="19"/>
      <c r="I120" s="19"/>
      <c r="J120" s="19"/>
      <c r="K120" s="19" t="str">
        <f>IF(B120="","",SUMIF('Stock IN'!$C$3:$C$302,B120,'Stock IN'!$F$3:$F$302))</f>
        <v/>
      </c>
      <c r="L120" s="19" t="str">
        <f>IF(B120="","",SUMIF('Stock OUT (Issue)'!$D$3:$D$302,B120,'Stock OUT (Issue)'!$G$3:$G$302))</f>
        <v/>
      </c>
      <c r="M120" s="19" t="str">
        <f t="shared" si="2"/>
        <v/>
      </c>
      <c r="N120" s="20" t="str">
        <f t="shared" si="3"/>
        <v/>
      </c>
      <c r="O120" s="14" t="str">
        <f t="shared" si="4"/>
        <v/>
      </c>
      <c r="P120" s="14"/>
      <c r="Q120" s="14"/>
    </row>
    <row r="121" ht="15.75" customHeight="1">
      <c r="A121" s="14" t="str">
        <f t="shared" si="1"/>
        <v/>
      </c>
      <c r="B121" s="14"/>
      <c r="C121" s="14"/>
      <c r="D121" s="14"/>
      <c r="E121" s="14"/>
      <c r="F121" s="14"/>
      <c r="G121" s="14"/>
      <c r="H121" s="19"/>
      <c r="I121" s="19"/>
      <c r="J121" s="19"/>
      <c r="K121" s="19" t="str">
        <f>IF(B121="","",SUMIF('Stock IN'!$C$3:$C$302,B121,'Stock IN'!$F$3:$F$302))</f>
        <v/>
      </c>
      <c r="L121" s="19" t="str">
        <f>IF(B121="","",SUMIF('Stock OUT (Issue)'!$D$3:$D$302,B121,'Stock OUT (Issue)'!$G$3:$G$302))</f>
        <v/>
      </c>
      <c r="M121" s="19" t="str">
        <f t="shared" si="2"/>
        <v/>
      </c>
      <c r="N121" s="20" t="str">
        <f t="shared" si="3"/>
        <v/>
      </c>
      <c r="O121" s="14" t="str">
        <f t="shared" si="4"/>
        <v/>
      </c>
      <c r="P121" s="14"/>
      <c r="Q121" s="14"/>
    </row>
    <row r="122" ht="15.75" customHeight="1">
      <c r="A122" s="14" t="str">
        <f t="shared" si="1"/>
        <v/>
      </c>
      <c r="B122" s="14"/>
      <c r="C122" s="14"/>
      <c r="D122" s="14"/>
      <c r="E122" s="14"/>
      <c r="F122" s="14"/>
      <c r="G122" s="14"/>
      <c r="H122" s="19"/>
      <c r="I122" s="19"/>
      <c r="J122" s="19"/>
      <c r="K122" s="19" t="str">
        <f>IF(B122="","",SUMIF('Stock IN'!$C$3:$C$302,B122,'Stock IN'!$F$3:$F$302))</f>
        <v/>
      </c>
      <c r="L122" s="19" t="str">
        <f>IF(B122="","",SUMIF('Stock OUT (Issue)'!$D$3:$D$302,B122,'Stock OUT (Issue)'!$G$3:$G$302))</f>
        <v/>
      </c>
      <c r="M122" s="19" t="str">
        <f t="shared" si="2"/>
        <v/>
      </c>
      <c r="N122" s="20" t="str">
        <f t="shared" si="3"/>
        <v/>
      </c>
      <c r="O122" s="14" t="str">
        <f t="shared" si="4"/>
        <v/>
      </c>
      <c r="P122" s="14"/>
      <c r="Q122" s="14"/>
    </row>
    <row r="123" ht="15.75" customHeight="1">
      <c r="A123" s="14" t="str">
        <f t="shared" si="1"/>
        <v/>
      </c>
      <c r="B123" s="14"/>
      <c r="C123" s="14"/>
      <c r="D123" s="14"/>
      <c r="E123" s="14"/>
      <c r="F123" s="14"/>
      <c r="G123" s="14"/>
      <c r="H123" s="19"/>
      <c r="I123" s="19"/>
      <c r="J123" s="19"/>
      <c r="K123" s="19" t="str">
        <f>IF(B123="","",SUMIF('Stock IN'!$C$3:$C$302,B123,'Stock IN'!$F$3:$F$302))</f>
        <v/>
      </c>
      <c r="L123" s="19" t="str">
        <f>IF(B123="","",SUMIF('Stock OUT (Issue)'!$D$3:$D$302,B123,'Stock OUT (Issue)'!$G$3:$G$302))</f>
        <v/>
      </c>
      <c r="M123" s="19" t="str">
        <f t="shared" si="2"/>
        <v/>
      </c>
      <c r="N123" s="20" t="str">
        <f t="shared" si="3"/>
        <v/>
      </c>
      <c r="O123" s="14" t="str">
        <f t="shared" si="4"/>
        <v/>
      </c>
      <c r="P123" s="14"/>
      <c r="Q123" s="14"/>
    </row>
    <row r="124" ht="15.75" customHeight="1">
      <c r="A124" s="14" t="str">
        <f t="shared" si="1"/>
        <v/>
      </c>
      <c r="B124" s="14"/>
      <c r="C124" s="14"/>
      <c r="D124" s="14"/>
      <c r="E124" s="14"/>
      <c r="F124" s="14"/>
      <c r="G124" s="14"/>
      <c r="H124" s="19"/>
      <c r="I124" s="19"/>
      <c r="J124" s="19"/>
      <c r="K124" s="19" t="str">
        <f>IF(B124="","",SUMIF('Stock IN'!$C$3:$C$302,B124,'Stock IN'!$F$3:$F$302))</f>
        <v/>
      </c>
      <c r="L124" s="19" t="str">
        <f>IF(B124="","",SUMIF('Stock OUT (Issue)'!$D$3:$D$302,B124,'Stock OUT (Issue)'!$G$3:$G$302))</f>
        <v/>
      </c>
      <c r="M124" s="19" t="str">
        <f t="shared" si="2"/>
        <v/>
      </c>
      <c r="N124" s="20" t="str">
        <f t="shared" si="3"/>
        <v/>
      </c>
      <c r="O124" s="14" t="str">
        <f t="shared" si="4"/>
        <v/>
      </c>
      <c r="P124" s="14"/>
      <c r="Q124" s="14"/>
    </row>
    <row r="125" ht="15.75" customHeight="1">
      <c r="A125" s="14" t="str">
        <f t="shared" si="1"/>
        <v/>
      </c>
      <c r="B125" s="14"/>
      <c r="C125" s="14"/>
      <c r="D125" s="14"/>
      <c r="E125" s="14"/>
      <c r="F125" s="14"/>
      <c r="G125" s="14"/>
      <c r="H125" s="19"/>
      <c r="I125" s="19"/>
      <c r="J125" s="19"/>
      <c r="K125" s="19" t="str">
        <f>IF(B125="","",SUMIF('Stock IN'!$C$3:$C$302,B125,'Stock IN'!$F$3:$F$302))</f>
        <v/>
      </c>
      <c r="L125" s="19" t="str">
        <f>IF(B125="","",SUMIF('Stock OUT (Issue)'!$D$3:$D$302,B125,'Stock OUT (Issue)'!$G$3:$G$302))</f>
        <v/>
      </c>
      <c r="M125" s="19" t="str">
        <f t="shared" si="2"/>
        <v/>
      </c>
      <c r="N125" s="20" t="str">
        <f t="shared" si="3"/>
        <v/>
      </c>
      <c r="O125" s="14" t="str">
        <f t="shared" si="4"/>
        <v/>
      </c>
      <c r="P125" s="14"/>
      <c r="Q125" s="14"/>
    </row>
    <row r="126" ht="15.75" customHeight="1">
      <c r="A126" s="14" t="str">
        <f t="shared" si="1"/>
        <v/>
      </c>
      <c r="B126" s="14"/>
      <c r="C126" s="14"/>
      <c r="D126" s="14"/>
      <c r="E126" s="14"/>
      <c r="F126" s="14"/>
      <c r="G126" s="14"/>
      <c r="H126" s="19"/>
      <c r="I126" s="19"/>
      <c r="J126" s="19"/>
      <c r="K126" s="19" t="str">
        <f>IF(B126="","",SUMIF('Stock IN'!$C$3:$C$302,B126,'Stock IN'!$F$3:$F$302))</f>
        <v/>
      </c>
      <c r="L126" s="19" t="str">
        <f>IF(B126="","",SUMIF('Stock OUT (Issue)'!$D$3:$D$302,B126,'Stock OUT (Issue)'!$G$3:$G$302))</f>
        <v/>
      </c>
      <c r="M126" s="19" t="str">
        <f t="shared" si="2"/>
        <v/>
      </c>
      <c r="N126" s="20" t="str">
        <f t="shared" si="3"/>
        <v/>
      </c>
      <c r="O126" s="14" t="str">
        <f t="shared" si="4"/>
        <v/>
      </c>
      <c r="P126" s="14"/>
      <c r="Q126" s="14"/>
    </row>
    <row r="127" ht="15.75" customHeight="1">
      <c r="A127" s="14" t="str">
        <f t="shared" si="1"/>
        <v/>
      </c>
      <c r="B127" s="14"/>
      <c r="C127" s="14"/>
      <c r="D127" s="14"/>
      <c r="E127" s="14"/>
      <c r="F127" s="14"/>
      <c r="G127" s="14"/>
      <c r="H127" s="19"/>
      <c r="I127" s="19"/>
      <c r="J127" s="19"/>
      <c r="K127" s="19" t="str">
        <f>IF(B127="","",SUMIF('Stock IN'!$C$3:$C$302,B127,'Stock IN'!$F$3:$F$302))</f>
        <v/>
      </c>
      <c r="L127" s="19" t="str">
        <f>IF(B127="","",SUMIF('Stock OUT (Issue)'!$D$3:$D$302,B127,'Stock OUT (Issue)'!$G$3:$G$302))</f>
        <v/>
      </c>
      <c r="M127" s="19" t="str">
        <f t="shared" si="2"/>
        <v/>
      </c>
      <c r="N127" s="20" t="str">
        <f t="shared" si="3"/>
        <v/>
      </c>
      <c r="O127" s="14" t="str">
        <f t="shared" si="4"/>
        <v/>
      </c>
      <c r="P127" s="14"/>
      <c r="Q127" s="14"/>
    </row>
    <row r="128" ht="15.75" customHeight="1">
      <c r="A128" s="14" t="str">
        <f t="shared" si="1"/>
        <v/>
      </c>
      <c r="B128" s="14"/>
      <c r="C128" s="14"/>
      <c r="D128" s="14"/>
      <c r="E128" s="14"/>
      <c r="F128" s="14"/>
      <c r="G128" s="14"/>
      <c r="H128" s="19"/>
      <c r="I128" s="19"/>
      <c r="J128" s="19"/>
      <c r="K128" s="19" t="str">
        <f>IF(B128="","",SUMIF('Stock IN'!$C$3:$C$302,B128,'Stock IN'!$F$3:$F$302))</f>
        <v/>
      </c>
      <c r="L128" s="19" t="str">
        <f>IF(B128="","",SUMIF('Stock OUT (Issue)'!$D$3:$D$302,B128,'Stock OUT (Issue)'!$G$3:$G$302))</f>
        <v/>
      </c>
      <c r="M128" s="19" t="str">
        <f t="shared" si="2"/>
        <v/>
      </c>
      <c r="N128" s="20" t="str">
        <f t="shared" si="3"/>
        <v/>
      </c>
      <c r="O128" s="14" t="str">
        <f t="shared" si="4"/>
        <v/>
      </c>
      <c r="P128" s="14"/>
      <c r="Q128" s="14"/>
    </row>
    <row r="129" ht="15.75" customHeight="1">
      <c r="A129" s="14" t="str">
        <f t="shared" si="1"/>
        <v/>
      </c>
      <c r="B129" s="14"/>
      <c r="C129" s="14"/>
      <c r="D129" s="14"/>
      <c r="E129" s="14"/>
      <c r="F129" s="14"/>
      <c r="G129" s="14"/>
      <c r="H129" s="19"/>
      <c r="I129" s="19"/>
      <c r="J129" s="19"/>
      <c r="K129" s="19" t="str">
        <f>IF(B129="","",SUMIF('Stock IN'!$C$3:$C$302,B129,'Stock IN'!$F$3:$F$302))</f>
        <v/>
      </c>
      <c r="L129" s="19" t="str">
        <f>IF(B129="","",SUMIF('Stock OUT (Issue)'!$D$3:$D$302,B129,'Stock OUT (Issue)'!$G$3:$G$302))</f>
        <v/>
      </c>
      <c r="M129" s="19" t="str">
        <f t="shared" si="2"/>
        <v/>
      </c>
      <c r="N129" s="20" t="str">
        <f t="shared" si="3"/>
        <v/>
      </c>
      <c r="O129" s="14" t="str">
        <f t="shared" si="4"/>
        <v/>
      </c>
      <c r="P129" s="14"/>
      <c r="Q129" s="14"/>
    </row>
    <row r="130" ht="15.75" customHeight="1">
      <c r="A130" s="14" t="str">
        <f t="shared" si="1"/>
        <v/>
      </c>
      <c r="B130" s="14"/>
      <c r="C130" s="14"/>
      <c r="D130" s="14"/>
      <c r="E130" s="14"/>
      <c r="F130" s="14"/>
      <c r="G130" s="14"/>
      <c r="H130" s="19"/>
      <c r="I130" s="19"/>
      <c r="J130" s="19"/>
      <c r="K130" s="19" t="str">
        <f>IF(B130="","",SUMIF('Stock IN'!$C$3:$C$302,B130,'Stock IN'!$F$3:$F$302))</f>
        <v/>
      </c>
      <c r="L130" s="19" t="str">
        <f>IF(B130="","",SUMIF('Stock OUT (Issue)'!$D$3:$D$302,B130,'Stock OUT (Issue)'!$G$3:$G$302))</f>
        <v/>
      </c>
      <c r="M130" s="19" t="str">
        <f t="shared" si="2"/>
        <v/>
      </c>
      <c r="N130" s="20" t="str">
        <f t="shared" si="3"/>
        <v/>
      </c>
      <c r="O130" s="14" t="str">
        <f t="shared" si="4"/>
        <v/>
      </c>
      <c r="P130" s="14"/>
      <c r="Q130" s="14"/>
    </row>
    <row r="131" ht="15.75" customHeight="1">
      <c r="A131" s="14" t="str">
        <f t="shared" si="1"/>
        <v/>
      </c>
      <c r="B131" s="14"/>
      <c r="C131" s="14"/>
      <c r="D131" s="14"/>
      <c r="E131" s="14"/>
      <c r="F131" s="14"/>
      <c r="G131" s="14"/>
      <c r="H131" s="19"/>
      <c r="I131" s="19"/>
      <c r="J131" s="19"/>
      <c r="K131" s="19" t="str">
        <f>IF(B131="","",SUMIF('Stock IN'!$C$3:$C$302,B131,'Stock IN'!$F$3:$F$302))</f>
        <v/>
      </c>
      <c r="L131" s="19" t="str">
        <f>IF(B131="","",SUMIF('Stock OUT (Issue)'!$D$3:$D$302,B131,'Stock OUT (Issue)'!$G$3:$G$302))</f>
        <v/>
      </c>
      <c r="M131" s="19" t="str">
        <f t="shared" si="2"/>
        <v/>
      </c>
      <c r="N131" s="20" t="str">
        <f t="shared" si="3"/>
        <v/>
      </c>
      <c r="O131" s="14" t="str">
        <f t="shared" si="4"/>
        <v/>
      </c>
      <c r="P131" s="14"/>
      <c r="Q131" s="14"/>
    </row>
    <row r="132" ht="15.75" customHeight="1">
      <c r="A132" s="14" t="str">
        <f t="shared" si="1"/>
        <v/>
      </c>
      <c r="B132" s="14"/>
      <c r="C132" s="14"/>
      <c r="D132" s="14"/>
      <c r="E132" s="14"/>
      <c r="F132" s="14"/>
      <c r="G132" s="14"/>
      <c r="H132" s="19"/>
      <c r="I132" s="19"/>
      <c r="J132" s="19"/>
      <c r="K132" s="19" t="str">
        <f>IF(B132="","",SUMIF('Stock IN'!$C$3:$C$302,B132,'Stock IN'!$F$3:$F$302))</f>
        <v/>
      </c>
      <c r="L132" s="19" t="str">
        <f>IF(B132="","",SUMIF('Stock OUT (Issue)'!$D$3:$D$302,B132,'Stock OUT (Issue)'!$G$3:$G$302))</f>
        <v/>
      </c>
      <c r="M132" s="19" t="str">
        <f t="shared" si="2"/>
        <v/>
      </c>
      <c r="N132" s="20" t="str">
        <f t="shared" si="3"/>
        <v/>
      </c>
      <c r="O132" s="14" t="str">
        <f t="shared" si="4"/>
        <v/>
      </c>
      <c r="P132" s="14"/>
      <c r="Q132" s="14"/>
    </row>
    <row r="133" ht="15.75" customHeight="1">
      <c r="A133" s="14" t="str">
        <f t="shared" si="1"/>
        <v/>
      </c>
      <c r="B133" s="14"/>
      <c r="C133" s="14"/>
      <c r="D133" s="14"/>
      <c r="E133" s="14"/>
      <c r="F133" s="14"/>
      <c r="G133" s="14"/>
      <c r="H133" s="19"/>
      <c r="I133" s="19"/>
      <c r="J133" s="19"/>
      <c r="K133" s="19" t="str">
        <f>IF(B133="","",SUMIF('Stock IN'!$C$3:$C$302,B133,'Stock IN'!$F$3:$F$302))</f>
        <v/>
      </c>
      <c r="L133" s="19" t="str">
        <f>IF(B133="","",SUMIF('Stock OUT (Issue)'!$D$3:$D$302,B133,'Stock OUT (Issue)'!$G$3:$G$302))</f>
        <v/>
      </c>
      <c r="M133" s="19" t="str">
        <f t="shared" si="2"/>
        <v/>
      </c>
      <c r="N133" s="20" t="str">
        <f t="shared" si="3"/>
        <v/>
      </c>
      <c r="O133" s="14" t="str">
        <f t="shared" si="4"/>
        <v/>
      </c>
      <c r="P133" s="14"/>
      <c r="Q133" s="14"/>
    </row>
    <row r="134" ht="15.75" customHeight="1">
      <c r="A134" s="14" t="str">
        <f t="shared" si="1"/>
        <v/>
      </c>
      <c r="B134" s="14"/>
      <c r="C134" s="14"/>
      <c r="D134" s="14"/>
      <c r="E134" s="14"/>
      <c r="F134" s="14"/>
      <c r="G134" s="14"/>
      <c r="H134" s="19"/>
      <c r="I134" s="19"/>
      <c r="J134" s="19"/>
      <c r="K134" s="19" t="str">
        <f>IF(B134="","",SUMIF('Stock IN'!$C$3:$C$302,B134,'Stock IN'!$F$3:$F$302))</f>
        <v/>
      </c>
      <c r="L134" s="19" t="str">
        <f>IF(B134="","",SUMIF('Stock OUT (Issue)'!$D$3:$D$302,B134,'Stock OUT (Issue)'!$G$3:$G$302))</f>
        <v/>
      </c>
      <c r="M134" s="19" t="str">
        <f t="shared" si="2"/>
        <v/>
      </c>
      <c r="N134" s="20" t="str">
        <f t="shared" si="3"/>
        <v/>
      </c>
      <c r="O134" s="14" t="str">
        <f t="shared" si="4"/>
        <v/>
      </c>
      <c r="P134" s="14"/>
      <c r="Q134" s="14"/>
    </row>
    <row r="135" ht="15.75" customHeight="1">
      <c r="A135" s="14" t="str">
        <f t="shared" si="1"/>
        <v/>
      </c>
      <c r="B135" s="14"/>
      <c r="C135" s="14"/>
      <c r="D135" s="14"/>
      <c r="E135" s="14"/>
      <c r="F135" s="14"/>
      <c r="G135" s="14"/>
      <c r="H135" s="19"/>
      <c r="I135" s="19"/>
      <c r="J135" s="19"/>
      <c r="K135" s="19" t="str">
        <f>IF(B135="","",SUMIF('Stock IN'!$C$3:$C$302,B135,'Stock IN'!$F$3:$F$302))</f>
        <v/>
      </c>
      <c r="L135" s="19" t="str">
        <f>IF(B135="","",SUMIF('Stock OUT (Issue)'!$D$3:$D$302,B135,'Stock OUT (Issue)'!$G$3:$G$302))</f>
        <v/>
      </c>
      <c r="M135" s="19" t="str">
        <f t="shared" si="2"/>
        <v/>
      </c>
      <c r="N135" s="20" t="str">
        <f t="shared" si="3"/>
        <v/>
      </c>
      <c r="O135" s="14" t="str">
        <f t="shared" si="4"/>
        <v/>
      </c>
      <c r="P135" s="14"/>
      <c r="Q135" s="14"/>
    </row>
    <row r="136" ht="15.75" customHeight="1">
      <c r="A136" s="14" t="str">
        <f t="shared" si="1"/>
        <v/>
      </c>
      <c r="B136" s="14"/>
      <c r="C136" s="14"/>
      <c r="D136" s="14"/>
      <c r="E136" s="14"/>
      <c r="F136" s="14"/>
      <c r="G136" s="14"/>
      <c r="H136" s="19"/>
      <c r="I136" s="19"/>
      <c r="J136" s="19"/>
      <c r="K136" s="19" t="str">
        <f>IF(B136="","",SUMIF('Stock IN'!$C$3:$C$302,B136,'Stock IN'!$F$3:$F$302))</f>
        <v/>
      </c>
      <c r="L136" s="19" t="str">
        <f>IF(B136="","",SUMIF('Stock OUT (Issue)'!$D$3:$D$302,B136,'Stock OUT (Issue)'!$G$3:$G$302))</f>
        <v/>
      </c>
      <c r="M136" s="19" t="str">
        <f t="shared" si="2"/>
        <v/>
      </c>
      <c r="N136" s="20" t="str">
        <f t="shared" si="3"/>
        <v/>
      </c>
      <c r="O136" s="14" t="str">
        <f t="shared" si="4"/>
        <v/>
      </c>
      <c r="P136" s="14"/>
      <c r="Q136" s="14"/>
    </row>
    <row r="137" ht="15.75" customHeight="1">
      <c r="A137" s="14" t="str">
        <f t="shared" si="1"/>
        <v/>
      </c>
      <c r="B137" s="14"/>
      <c r="C137" s="14"/>
      <c r="D137" s="14"/>
      <c r="E137" s="14"/>
      <c r="F137" s="14"/>
      <c r="G137" s="14"/>
      <c r="H137" s="19"/>
      <c r="I137" s="19"/>
      <c r="J137" s="19"/>
      <c r="K137" s="19" t="str">
        <f>IF(B137="","",SUMIF('Stock IN'!$C$3:$C$302,B137,'Stock IN'!$F$3:$F$302))</f>
        <v/>
      </c>
      <c r="L137" s="19" t="str">
        <f>IF(B137="","",SUMIF('Stock OUT (Issue)'!$D$3:$D$302,B137,'Stock OUT (Issue)'!$G$3:$G$302))</f>
        <v/>
      </c>
      <c r="M137" s="19" t="str">
        <f t="shared" si="2"/>
        <v/>
      </c>
      <c r="N137" s="20" t="str">
        <f t="shared" si="3"/>
        <v/>
      </c>
      <c r="O137" s="14" t="str">
        <f t="shared" si="4"/>
        <v/>
      </c>
      <c r="P137" s="14"/>
      <c r="Q137" s="14"/>
    </row>
    <row r="138" ht="15.75" customHeight="1">
      <c r="A138" s="14" t="str">
        <f t="shared" si="1"/>
        <v/>
      </c>
      <c r="B138" s="14"/>
      <c r="C138" s="14"/>
      <c r="D138" s="14"/>
      <c r="E138" s="14"/>
      <c r="F138" s="14"/>
      <c r="G138" s="14"/>
      <c r="H138" s="19"/>
      <c r="I138" s="19"/>
      <c r="J138" s="19"/>
      <c r="K138" s="19" t="str">
        <f>IF(B138="","",SUMIF('Stock IN'!$C$3:$C$302,B138,'Stock IN'!$F$3:$F$302))</f>
        <v/>
      </c>
      <c r="L138" s="19" t="str">
        <f>IF(B138="","",SUMIF('Stock OUT (Issue)'!$D$3:$D$302,B138,'Stock OUT (Issue)'!$G$3:$G$302))</f>
        <v/>
      </c>
      <c r="M138" s="19" t="str">
        <f t="shared" si="2"/>
        <v/>
      </c>
      <c r="N138" s="20" t="str">
        <f t="shared" si="3"/>
        <v/>
      </c>
      <c r="O138" s="14" t="str">
        <f t="shared" si="4"/>
        <v/>
      </c>
      <c r="P138" s="14"/>
      <c r="Q138" s="14"/>
    </row>
    <row r="139" ht="15.75" customHeight="1">
      <c r="A139" s="14" t="str">
        <f t="shared" si="1"/>
        <v/>
      </c>
      <c r="B139" s="14"/>
      <c r="C139" s="14"/>
      <c r="D139" s="14"/>
      <c r="E139" s="14"/>
      <c r="F139" s="14"/>
      <c r="G139" s="14"/>
      <c r="H139" s="19"/>
      <c r="I139" s="19"/>
      <c r="J139" s="19"/>
      <c r="K139" s="19" t="str">
        <f>IF(B139="","",SUMIF('Stock IN'!$C$3:$C$302,B139,'Stock IN'!$F$3:$F$302))</f>
        <v/>
      </c>
      <c r="L139" s="19" t="str">
        <f>IF(B139="","",SUMIF('Stock OUT (Issue)'!$D$3:$D$302,B139,'Stock OUT (Issue)'!$G$3:$G$302))</f>
        <v/>
      </c>
      <c r="M139" s="19" t="str">
        <f t="shared" si="2"/>
        <v/>
      </c>
      <c r="N139" s="20" t="str">
        <f t="shared" si="3"/>
        <v/>
      </c>
      <c r="O139" s="14" t="str">
        <f t="shared" si="4"/>
        <v/>
      </c>
      <c r="P139" s="14"/>
      <c r="Q139" s="14"/>
    </row>
    <row r="140" ht="15.75" customHeight="1">
      <c r="A140" s="14" t="str">
        <f t="shared" si="1"/>
        <v/>
      </c>
      <c r="B140" s="14"/>
      <c r="C140" s="14"/>
      <c r="D140" s="14"/>
      <c r="E140" s="14"/>
      <c r="F140" s="14"/>
      <c r="G140" s="14"/>
      <c r="H140" s="19"/>
      <c r="I140" s="19"/>
      <c r="J140" s="19"/>
      <c r="K140" s="19" t="str">
        <f>IF(B140="","",SUMIF('Stock IN'!$C$3:$C$302,B140,'Stock IN'!$F$3:$F$302))</f>
        <v/>
      </c>
      <c r="L140" s="19" t="str">
        <f>IF(B140="","",SUMIF('Stock OUT (Issue)'!$D$3:$D$302,B140,'Stock OUT (Issue)'!$G$3:$G$302))</f>
        <v/>
      </c>
      <c r="M140" s="19" t="str">
        <f t="shared" si="2"/>
        <v/>
      </c>
      <c r="N140" s="20" t="str">
        <f t="shared" si="3"/>
        <v/>
      </c>
      <c r="O140" s="14" t="str">
        <f t="shared" si="4"/>
        <v/>
      </c>
      <c r="P140" s="14"/>
      <c r="Q140" s="14"/>
    </row>
    <row r="141" ht="15.75" customHeight="1">
      <c r="A141" s="14" t="str">
        <f t="shared" si="1"/>
        <v/>
      </c>
      <c r="B141" s="14"/>
      <c r="C141" s="14"/>
      <c r="D141" s="14"/>
      <c r="E141" s="14"/>
      <c r="F141" s="14"/>
      <c r="G141" s="14"/>
      <c r="H141" s="19"/>
      <c r="I141" s="19"/>
      <c r="J141" s="19"/>
      <c r="K141" s="19" t="str">
        <f>IF(B141="","",SUMIF('Stock IN'!$C$3:$C$302,B141,'Stock IN'!$F$3:$F$302))</f>
        <v/>
      </c>
      <c r="L141" s="19" t="str">
        <f>IF(B141="","",SUMIF('Stock OUT (Issue)'!$D$3:$D$302,B141,'Stock OUT (Issue)'!$G$3:$G$302))</f>
        <v/>
      </c>
      <c r="M141" s="19" t="str">
        <f t="shared" si="2"/>
        <v/>
      </c>
      <c r="N141" s="20" t="str">
        <f t="shared" si="3"/>
        <v/>
      </c>
      <c r="O141" s="14" t="str">
        <f t="shared" si="4"/>
        <v/>
      </c>
      <c r="P141" s="14"/>
      <c r="Q141" s="14"/>
    </row>
    <row r="142" ht="15.75" customHeight="1">
      <c r="A142" s="14" t="str">
        <f t="shared" si="1"/>
        <v/>
      </c>
      <c r="B142" s="14"/>
      <c r="C142" s="14"/>
      <c r="D142" s="14"/>
      <c r="E142" s="14"/>
      <c r="F142" s="14"/>
      <c r="G142" s="14"/>
      <c r="H142" s="19"/>
      <c r="I142" s="19"/>
      <c r="J142" s="19"/>
      <c r="K142" s="19" t="str">
        <f>IF(B142="","",SUMIF('Stock IN'!$C$3:$C$302,B142,'Stock IN'!$F$3:$F$302))</f>
        <v/>
      </c>
      <c r="L142" s="19" t="str">
        <f>IF(B142="","",SUMIF('Stock OUT (Issue)'!$D$3:$D$302,B142,'Stock OUT (Issue)'!$G$3:$G$302))</f>
        <v/>
      </c>
      <c r="M142" s="19" t="str">
        <f t="shared" si="2"/>
        <v/>
      </c>
      <c r="N142" s="20" t="str">
        <f t="shared" si="3"/>
        <v/>
      </c>
      <c r="O142" s="14" t="str">
        <f t="shared" si="4"/>
        <v/>
      </c>
      <c r="P142" s="14"/>
      <c r="Q142" s="14"/>
    </row>
    <row r="143" ht="15.75" customHeight="1">
      <c r="A143" s="14" t="str">
        <f t="shared" si="1"/>
        <v/>
      </c>
      <c r="B143" s="14"/>
      <c r="C143" s="14"/>
      <c r="D143" s="14"/>
      <c r="E143" s="14"/>
      <c r="F143" s="14"/>
      <c r="G143" s="14"/>
      <c r="H143" s="19"/>
      <c r="I143" s="19"/>
      <c r="J143" s="19"/>
      <c r="K143" s="19" t="str">
        <f>IF(B143="","",SUMIF('Stock IN'!$C$3:$C$302,B143,'Stock IN'!$F$3:$F$302))</f>
        <v/>
      </c>
      <c r="L143" s="19" t="str">
        <f>IF(B143="","",SUMIF('Stock OUT (Issue)'!$D$3:$D$302,B143,'Stock OUT (Issue)'!$G$3:$G$302))</f>
        <v/>
      </c>
      <c r="M143" s="19" t="str">
        <f t="shared" si="2"/>
        <v/>
      </c>
      <c r="N143" s="20" t="str">
        <f t="shared" si="3"/>
        <v/>
      </c>
      <c r="O143" s="14" t="str">
        <f t="shared" si="4"/>
        <v/>
      </c>
      <c r="P143" s="14"/>
      <c r="Q143" s="14"/>
    </row>
    <row r="144" ht="15.75" customHeight="1">
      <c r="A144" s="14" t="str">
        <f t="shared" si="1"/>
        <v/>
      </c>
      <c r="B144" s="14"/>
      <c r="C144" s="14"/>
      <c r="D144" s="14"/>
      <c r="E144" s="14"/>
      <c r="F144" s="14"/>
      <c r="G144" s="14"/>
      <c r="H144" s="19"/>
      <c r="I144" s="19"/>
      <c r="J144" s="19"/>
      <c r="K144" s="19" t="str">
        <f>IF(B144="","",SUMIF('Stock IN'!$C$3:$C$302,B144,'Stock IN'!$F$3:$F$302))</f>
        <v/>
      </c>
      <c r="L144" s="19" t="str">
        <f>IF(B144="","",SUMIF('Stock OUT (Issue)'!$D$3:$D$302,B144,'Stock OUT (Issue)'!$G$3:$G$302))</f>
        <v/>
      </c>
      <c r="M144" s="19" t="str">
        <f t="shared" si="2"/>
        <v/>
      </c>
      <c r="N144" s="20" t="str">
        <f t="shared" si="3"/>
        <v/>
      </c>
      <c r="O144" s="14" t="str">
        <f t="shared" si="4"/>
        <v/>
      </c>
      <c r="P144" s="14"/>
      <c r="Q144" s="14"/>
    </row>
    <row r="145" ht="15.75" customHeight="1">
      <c r="A145" s="14" t="str">
        <f t="shared" si="1"/>
        <v/>
      </c>
      <c r="B145" s="14"/>
      <c r="C145" s="14"/>
      <c r="D145" s="14"/>
      <c r="E145" s="14"/>
      <c r="F145" s="14"/>
      <c r="G145" s="14"/>
      <c r="H145" s="19"/>
      <c r="I145" s="19"/>
      <c r="J145" s="19"/>
      <c r="K145" s="19" t="str">
        <f>IF(B145="","",SUMIF('Stock IN'!$C$3:$C$302,B145,'Stock IN'!$F$3:$F$302))</f>
        <v/>
      </c>
      <c r="L145" s="19" t="str">
        <f>IF(B145="","",SUMIF('Stock OUT (Issue)'!$D$3:$D$302,B145,'Stock OUT (Issue)'!$G$3:$G$302))</f>
        <v/>
      </c>
      <c r="M145" s="19" t="str">
        <f t="shared" si="2"/>
        <v/>
      </c>
      <c r="N145" s="20" t="str">
        <f t="shared" si="3"/>
        <v/>
      </c>
      <c r="O145" s="14" t="str">
        <f t="shared" si="4"/>
        <v/>
      </c>
      <c r="P145" s="14"/>
      <c r="Q145" s="14"/>
    </row>
    <row r="146" ht="15.75" customHeight="1">
      <c r="A146" s="14" t="str">
        <f t="shared" si="1"/>
        <v/>
      </c>
      <c r="B146" s="14"/>
      <c r="C146" s="14"/>
      <c r="D146" s="14"/>
      <c r="E146" s="14"/>
      <c r="F146" s="14"/>
      <c r="G146" s="14"/>
      <c r="H146" s="19"/>
      <c r="I146" s="19"/>
      <c r="J146" s="19"/>
      <c r="K146" s="19" t="str">
        <f>IF(B146="","",SUMIF('Stock IN'!$C$3:$C$302,B146,'Stock IN'!$F$3:$F$302))</f>
        <v/>
      </c>
      <c r="L146" s="19" t="str">
        <f>IF(B146="","",SUMIF('Stock OUT (Issue)'!$D$3:$D$302,B146,'Stock OUT (Issue)'!$G$3:$G$302))</f>
        <v/>
      </c>
      <c r="M146" s="19" t="str">
        <f t="shared" si="2"/>
        <v/>
      </c>
      <c r="N146" s="20" t="str">
        <f t="shared" si="3"/>
        <v/>
      </c>
      <c r="O146" s="14" t="str">
        <f t="shared" si="4"/>
        <v/>
      </c>
      <c r="P146" s="14"/>
      <c r="Q146" s="14"/>
    </row>
    <row r="147" ht="15.75" customHeight="1">
      <c r="A147" s="14" t="str">
        <f t="shared" si="1"/>
        <v/>
      </c>
      <c r="B147" s="14"/>
      <c r="C147" s="14"/>
      <c r="D147" s="14"/>
      <c r="E147" s="14"/>
      <c r="F147" s="14"/>
      <c r="G147" s="14"/>
      <c r="H147" s="19"/>
      <c r="I147" s="19"/>
      <c r="J147" s="19"/>
      <c r="K147" s="19" t="str">
        <f>IF(B147="","",SUMIF('Stock IN'!$C$3:$C$302,B147,'Stock IN'!$F$3:$F$302))</f>
        <v/>
      </c>
      <c r="L147" s="19" t="str">
        <f>IF(B147="","",SUMIF('Stock OUT (Issue)'!$D$3:$D$302,B147,'Stock OUT (Issue)'!$G$3:$G$302))</f>
        <v/>
      </c>
      <c r="M147" s="19" t="str">
        <f t="shared" si="2"/>
        <v/>
      </c>
      <c r="N147" s="20" t="str">
        <f t="shared" si="3"/>
        <v/>
      </c>
      <c r="O147" s="14" t="str">
        <f t="shared" si="4"/>
        <v/>
      </c>
      <c r="P147" s="14"/>
      <c r="Q147" s="14"/>
    </row>
    <row r="148" ht="15.75" customHeight="1">
      <c r="A148" s="14" t="str">
        <f t="shared" si="1"/>
        <v/>
      </c>
      <c r="B148" s="14"/>
      <c r="C148" s="14"/>
      <c r="D148" s="14"/>
      <c r="E148" s="14"/>
      <c r="F148" s="14"/>
      <c r="G148" s="14"/>
      <c r="H148" s="19"/>
      <c r="I148" s="19"/>
      <c r="J148" s="19"/>
      <c r="K148" s="19" t="str">
        <f>IF(B148="","",SUMIF('Stock IN'!$C$3:$C$302,B148,'Stock IN'!$F$3:$F$302))</f>
        <v/>
      </c>
      <c r="L148" s="19" t="str">
        <f>IF(B148="","",SUMIF('Stock OUT (Issue)'!$D$3:$D$302,B148,'Stock OUT (Issue)'!$G$3:$G$302))</f>
        <v/>
      </c>
      <c r="M148" s="19" t="str">
        <f t="shared" si="2"/>
        <v/>
      </c>
      <c r="N148" s="20" t="str">
        <f t="shared" si="3"/>
        <v/>
      </c>
      <c r="O148" s="14" t="str">
        <f t="shared" si="4"/>
        <v/>
      </c>
      <c r="P148" s="14"/>
      <c r="Q148" s="14"/>
    </row>
    <row r="149" ht="15.75" customHeight="1">
      <c r="A149" s="14" t="str">
        <f t="shared" si="1"/>
        <v/>
      </c>
      <c r="B149" s="14"/>
      <c r="C149" s="14"/>
      <c r="D149" s="14"/>
      <c r="E149" s="14"/>
      <c r="F149" s="14"/>
      <c r="G149" s="14"/>
      <c r="H149" s="19"/>
      <c r="I149" s="19"/>
      <c r="J149" s="19"/>
      <c r="K149" s="19" t="str">
        <f>IF(B149="","",SUMIF('Stock IN'!$C$3:$C$302,B149,'Stock IN'!$F$3:$F$302))</f>
        <v/>
      </c>
      <c r="L149" s="19" t="str">
        <f>IF(B149="","",SUMIF('Stock OUT (Issue)'!$D$3:$D$302,B149,'Stock OUT (Issue)'!$G$3:$G$302))</f>
        <v/>
      </c>
      <c r="M149" s="19" t="str">
        <f t="shared" si="2"/>
        <v/>
      </c>
      <c r="N149" s="20" t="str">
        <f t="shared" si="3"/>
        <v/>
      </c>
      <c r="O149" s="14" t="str">
        <f t="shared" si="4"/>
        <v/>
      </c>
      <c r="P149" s="14"/>
      <c r="Q149" s="14"/>
    </row>
    <row r="150" ht="15.75" customHeight="1">
      <c r="A150" s="14" t="str">
        <f t="shared" si="1"/>
        <v/>
      </c>
      <c r="B150" s="14"/>
      <c r="C150" s="14"/>
      <c r="D150" s="14"/>
      <c r="E150" s="14"/>
      <c r="F150" s="14"/>
      <c r="G150" s="14"/>
      <c r="H150" s="19"/>
      <c r="I150" s="19"/>
      <c r="J150" s="19"/>
      <c r="K150" s="19" t="str">
        <f>IF(B150="","",SUMIF('Stock IN'!$C$3:$C$302,B150,'Stock IN'!$F$3:$F$302))</f>
        <v/>
      </c>
      <c r="L150" s="19" t="str">
        <f>IF(B150="","",SUMIF('Stock OUT (Issue)'!$D$3:$D$302,B150,'Stock OUT (Issue)'!$G$3:$G$302))</f>
        <v/>
      </c>
      <c r="M150" s="19" t="str">
        <f t="shared" si="2"/>
        <v/>
      </c>
      <c r="N150" s="20" t="str">
        <f t="shared" si="3"/>
        <v/>
      </c>
      <c r="O150" s="14" t="str">
        <f t="shared" si="4"/>
        <v/>
      </c>
      <c r="P150" s="14"/>
      <c r="Q150" s="14"/>
    </row>
    <row r="151" ht="15.75" customHeight="1">
      <c r="A151" s="14" t="str">
        <f t="shared" si="1"/>
        <v/>
      </c>
      <c r="B151" s="14"/>
      <c r="C151" s="14"/>
      <c r="D151" s="14"/>
      <c r="E151" s="14"/>
      <c r="F151" s="14"/>
      <c r="G151" s="14"/>
      <c r="H151" s="19"/>
      <c r="I151" s="19"/>
      <c r="J151" s="19"/>
      <c r="K151" s="19" t="str">
        <f>IF(B151="","",SUMIF('Stock IN'!$C$3:$C$302,B151,'Stock IN'!$F$3:$F$302))</f>
        <v/>
      </c>
      <c r="L151" s="19" t="str">
        <f>IF(B151="","",SUMIF('Stock OUT (Issue)'!$D$3:$D$302,B151,'Stock OUT (Issue)'!$G$3:$G$302))</f>
        <v/>
      </c>
      <c r="M151" s="19" t="str">
        <f t="shared" si="2"/>
        <v/>
      </c>
      <c r="N151" s="20" t="str">
        <f t="shared" si="3"/>
        <v/>
      </c>
      <c r="O151" s="14" t="str">
        <f t="shared" si="4"/>
        <v/>
      </c>
      <c r="P151" s="14"/>
      <c r="Q151" s="14"/>
    </row>
    <row r="152" ht="15.75" customHeight="1">
      <c r="A152" s="14" t="str">
        <f t="shared" si="1"/>
        <v/>
      </c>
      <c r="B152" s="14"/>
      <c r="C152" s="14"/>
      <c r="D152" s="14"/>
      <c r="E152" s="14"/>
      <c r="F152" s="14"/>
      <c r="G152" s="14"/>
      <c r="H152" s="19"/>
      <c r="I152" s="19"/>
      <c r="J152" s="19"/>
      <c r="K152" s="19" t="str">
        <f>IF(B152="","",SUMIF('Stock IN'!$C$3:$C$302,B152,'Stock IN'!$F$3:$F$302))</f>
        <v/>
      </c>
      <c r="L152" s="19" t="str">
        <f>IF(B152="","",SUMIF('Stock OUT (Issue)'!$D$3:$D$302,B152,'Stock OUT (Issue)'!$G$3:$G$302))</f>
        <v/>
      </c>
      <c r="M152" s="19" t="str">
        <f t="shared" si="2"/>
        <v/>
      </c>
      <c r="N152" s="20" t="str">
        <f t="shared" si="3"/>
        <v/>
      </c>
      <c r="O152" s="14" t="str">
        <f t="shared" si="4"/>
        <v/>
      </c>
      <c r="P152" s="14"/>
      <c r="Q152" s="14"/>
    </row>
    <row r="153" ht="15.75" customHeight="1">
      <c r="A153" s="14" t="str">
        <f t="shared" si="1"/>
        <v/>
      </c>
      <c r="B153" s="14"/>
      <c r="C153" s="14"/>
      <c r="D153" s="14"/>
      <c r="E153" s="14"/>
      <c r="F153" s="14"/>
      <c r="G153" s="14"/>
      <c r="H153" s="19"/>
      <c r="I153" s="19"/>
      <c r="J153" s="19"/>
      <c r="K153" s="19" t="str">
        <f>IF(B153="","",SUMIF('Stock IN'!$C$3:$C$302,B153,'Stock IN'!$F$3:$F$302))</f>
        <v/>
      </c>
      <c r="L153" s="19" t="str">
        <f>IF(B153="","",SUMIF('Stock OUT (Issue)'!$D$3:$D$302,B153,'Stock OUT (Issue)'!$G$3:$G$302))</f>
        <v/>
      </c>
      <c r="M153" s="19" t="str">
        <f t="shared" si="2"/>
        <v/>
      </c>
      <c r="N153" s="20" t="str">
        <f t="shared" si="3"/>
        <v/>
      </c>
      <c r="O153" s="14" t="str">
        <f t="shared" si="4"/>
        <v/>
      </c>
      <c r="P153" s="14"/>
      <c r="Q153" s="14"/>
    </row>
    <row r="154" ht="15.75" customHeight="1">
      <c r="A154" s="14" t="str">
        <f t="shared" si="1"/>
        <v/>
      </c>
      <c r="B154" s="14"/>
      <c r="C154" s="14"/>
      <c r="D154" s="14"/>
      <c r="E154" s="14"/>
      <c r="F154" s="14"/>
      <c r="G154" s="14"/>
      <c r="H154" s="19"/>
      <c r="I154" s="19"/>
      <c r="J154" s="19"/>
      <c r="K154" s="19" t="str">
        <f>IF(B154="","",SUMIF('Stock IN'!$C$3:$C$302,B154,'Stock IN'!$F$3:$F$302))</f>
        <v/>
      </c>
      <c r="L154" s="19" t="str">
        <f>IF(B154="","",SUMIF('Stock OUT (Issue)'!$D$3:$D$302,B154,'Stock OUT (Issue)'!$G$3:$G$302))</f>
        <v/>
      </c>
      <c r="M154" s="19" t="str">
        <f t="shared" si="2"/>
        <v/>
      </c>
      <c r="N154" s="20" t="str">
        <f t="shared" si="3"/>
        <v/>
      </c>
      <c r="O154" s="14" t="str">
        <f t="shared" si="4"/>
        <v/>
      </c>
      <c r="P154" s="14"/>
      <c r="Q154" s="14"/>
    </row>
    <row r="155" ht="15.75" customHeight="1">
      <c r="A155" s="14" t="str">
        <f t="shared" si="1"/>
        <v/>
      </c>
      <c r="B155" s="14"/>
      <c r="C155" s="14"/>
      <c r="D155" s="14"/>
      <c r="E155" s="14"/>
      <c r="F155" s="14"/>
      <c r="G155" s="14"/>
      <c r="H155" s="19"/>
      <c r="I155" s="19"/>
      <c r="J155" s="19"/>
      <c r="K155" s="19" t="str">
        <f>IF(B155="","",SUMIF('Stock IN'!$C$3:$C$302,B155,'Stock IN'!$F$3:$F$302))</f>
        <v/>
      </c>
      <c r="L155" s="19" t="str">
        <f>IF(B155="","",SUMIF('Stock OUT (Issue)'!$D$3:$D$302,B155,'Stock OUT (Issue)'!$G$3:$G$302))</f>
        <v/>
      </c>
      <c r="M155" s="19" t="str">
        <f t="shared" si="2"/>
        <v/>
      </c>
      <c r="N155" s="20" t="str">
        <f t="shared" si="3"/>
        <v/>
      </c>
      <c r="O155" s="14" t="str">
        <f t="shared" si="4"/>
        <v/>
      </c>
      <c r="P155" s="14"/>
      <c r="Q155" s="14"/>
    </row>
    <row r="156" ht="15.75" customHeight="1">
      <c r="A156" s="14" t="str">
        <f t="shared" si="1"/>
        <v/>
      </c>
      <c r="B156" s="14"/>
      <c r="C156" s="14"/>
      <c r="D156" s="14"/>
      <c r="E156" s="14"/>
      <c r="F156" s="14"/>
      <c r="G156" s="14"/>
      <c r="H156" s="19"/>
      <c r="I156" s="19"/>
      <c r="J156" s="19"/>
      <c r="K156" s="19" t="str">
        <f>IF(B156="","",SUMIF('Stock IN'!$C$3:$C$302,B156,'Stock IN'!$F$3:$F$302))</f>
        <v/>
      </c>
      <c r="L156" s="19" t="str">
        <f>IF(B156="","",SUMIF('Stock OUT (Issue)'!$D$3:$D$302,B156,'Stock OUT (Issue)'!$G$3:$G$302))</f>
        <v/>
      </c>
      <c r="M156" s="19" t="str">
        <f t="shared" si="2"/>
        <v/>
      </c>
      <c r="N156" s="20" t="str">
        <f t="shared" si="3"/>
        <v/>
      </c>
      <c r="O156" s="14" t="str">
        <f t="shared" si="4"/>
        <v/>
      </c>
      <c r="P156" s="14"/>
      <c r="Q156" s="14"/>
    </row>
    <row r="157" ht="15.75" customHeight="1">
      <c r="A157" s="14" t="str">
        <f t="shared" si="1"/>
        <v/>
      </c>
      <c r="B157" s="14"/>
      <c r="C157" s="14"/>
      <c r="D157" s="14"/>
      <c r="E157" s="14"/>
      <c r="F157" s="14"/>
      <c r="G157" s="14"/>
      <c r="H157" s="19"/>
      <c r="I157" s="19"/>
      <c r="J157" s="19"/>
      <c r="K157" s="19" t="str">
        <f>IF(B157="","",SUMIF('Stock IN'!$C$3:$C$302,B157,'Stock IN'!$F$3:$F$302))</f>
        <v/>
      </c>
      <c r="L157" s="19" t="str">
        <f>IF(B157="","",SUMIF('Stock OUT (Issue)'!$D$3:$D$302,B157,'Stock OUT (Issue)'!$G$3:$G$302))</f>
        <v/>
      </c>
      <c r="M157" s="19" t="str">
        <f t="shared" si="2"/>
        <v/>
      </c>
      <c r="N157" s="20" t="str">
        <f t="shared" si="3"/>
        <v/>
      </c>
      <c r="O157" s="14" t="str">
        <f t="shared" si="4"/>
        <v/>
      </c>
      <c r="P157" s="14"/>
      <c r="Q157" s="14"/>
    </row>
    <row r="158" ht="15.75" customHeight="1">
      <c r="A158" s="14" t="str">
        <f t="shared" si="1"/>
        <v/>
      </c>
      <c r="B158" s="14"/>
      <c r="C158" s="14"/>
      <c r="D158" s="14"/>
      <c r="E158" s="14"/>
      <c r="F158" s="14"/>
      <c r="G158" s="14"/>
      <c r="H158" s="19"/>
      <c r="I158" s="19"/>
      <c r="J158" s="19"/>
      <c r="K158" s="19" t="str">
        <f>IF(B158="","",SUMIF('Stock IN'!$C$3:$C$302,B158,'Stock IN'!$F$3:$F$302))</f>
        <v/>
      </c>
      <c r="L158" s="19" t="str">
        <f>IF(B158="","",SUMIF('Stock OUT (Issue)'!$D$3:$D$302,B158,'Stock OUT (Issue)'!$G$3:$G$302))</f>
        <v/>
      </c>
      <c r="M158" s="19" t="str">
        <f t="shared" si="2"/>
        <v/>
      </c>
      <c r="N158" s="20" t="str">
        <f t="shared" si="3"/>
        <v/>
      </c>
      <c r="O158" s="14" t="str">
        <f t="shared" si="4"/>
        <v/>
      </c>
      <c r="P158" s="14"/>
      <c r="Q158" s="14"/>
    </row>
    <row r="159" ht="15.75" customHeight="1">
      <c r="A159" s="14" t="str">
        <f t="shared" si="1"/>
        <v/>
      </c>
      <c r="B159" s="14"/>
      <c r="C159" s="14"/>
      <c r="D159" s="14"/>
      <c r="E159" s="14"/>
      <c r="F159" s="14"/>
      <c r="G159" s="14"/>
      <c r="H159" s="19"/>
      <c r="I159" s="19"/>
      <c r="J159" s="19"/>
      <c r="K159" s="19" t="str">
        <f>IF(B159="","",SUMIF('Stock IN'!$C$3:$C$302,B159,'Stock IN'!$F$3:$F$302))</f>
        <v/>
      </c>
      <c r="L159" s="19" t="str">
        <f>IF(B159="","",SUMIF('Stock OUT (Issue)'!$D$3:$D$302,B159,'Stock OUT (Issue)'!$G$3:$G$302))</f>
        <v/>
      </c>
      <c r="M159" s="19" t="str">
        <f t="shared" si="2"/>
        <v/>
      </c>
      <c r="N159" s="20" t="str">
        <f t="shared" si="3"/>
        <v/>
      </c>
      <c r="O159" s="14" t="str">
        <f t="shared" si="4"/>
        <v/>
      </c>
      <c r="P159" s="14"/>
      <c r="Q159" s="14"/>
    </row>
    <row r="160" ht="15.75" customHeight="1">
      <c r="A160" s="14" t="str">
        <f t="shared" si="1"/>
        <v/>
      </c>
      <c r="B160" s="14"/>
      <c r="C160" s="14"/>
      <c r="D160" s="14"/>
      <c r="E160" s="14"/>
      <c r="F160" s="14"/>
      <c r="G160" s="14"/>
      <c r="H160" s="19"/>
      <c r="I160" s="19"/>
      <c r="J160" s="19"/>
      <c r="K160" s="19" t="str">
        <f>IF(B160="","",SUMIF('Stock IN'!$C$3:$C$302,B160,'Stock IN'!$F$3:$F$302))</f>
        <v/>
      </c>
      <c r="L160" s="19" t="str">
        <f>IF(B160="","",SUMIF('Stock OUT (Issue)'!$D$3:$D$302,B160,'Stock OUT (Issue)'!$G$3:$G$302))</f>
        <v/>
      </c>
      <c r="M160" s="19" t="str">
        <f t="shared" si="2"/>
        <v/>
      </c>
      <c r="N160" s="20" t="str">
        <f t="shared" si="3"/>
        <v/>
      </c>
      <c r="O160" s="14" t="str">
        <f t="shared" si="4"/>
        <v/>
      </c>
      <c r="P160" s="14"/>
      <c r="Q160" s="14"/>
    </row>
    <row r="161" ht="15.75" customHeight="1">
      <c r="A161" s="14" t="str">
        <f t="shared" si="1"/>
        <v/>
      </c>
      <c r="B161" s="14"/>
      <c r="C161" s="14"/>
      <c r="D161" s="14"/>
      <c r="E161" s="14"/>
      <c r="F161" s="14"/>
      <c r="G161" s="14"/>
      <c r="H161" s="19"/>
      <c r="I161" s="19"/>
      <c r="J161" s="19"/>
      <c r="K161" s="19" t="str">
        <f>IF(B161="","",SUMIF('Stock IN'!$C$3:$C$302,B161,'Stock IN'!$F$3:$F$302))</f>
        <v/>
      </c>
      <c r="L161" s="19" t="str">
        <f>IF(B161="","",SUMIF('Stock OUT (Issue)'!$D$3:$D$302,B161,'Stock OUT (Issue)'!$G$3:$G$302))</f>
        <v/>
      </c>
      <c r="M161" s="19" t="str">
        <f t="shared" si="2"/>
        <v/>
      </c>
      <c r="N161" s="20" t="str">
        <f t="shared" si="3"/>
        <v/>
      </c>
      <c r="O161" s="14" t="str">
        <f t="shared" si="4"/>
        <v/>
      </c>
      <c r="P161" s="14"/>
      <c r="Q161" s="14"/>
    </row>
    <row r="162" ht="15.75" customHeight="1">
      <c r="A162" s="14" t="str">
        <f t="shared" si="1"/>
        <v/>
      </c>
      <c r="B162" s="14"/>
      <c r="C162" s="14"/>
      <c r="D162" s="14"/>
      <c r="E162" s="14"/>
      <c r="F162" s="14"/>
      <c r="G162" s="14"/>
      <c r="H162" s="19"/>
      <c r="I162" s="19"/>
      <c r="J162" s="19"/>
      <c r="K162" s="19" t="str">
        <f>IF(B162="","",SUMIF('Stock IN'!$C$3:$C$302,B162,'Stock IN'!$F$3:$F$302))</f>
        <v/>
      </c>
      <c r="L162" s="19" t="str">
        <f>IF(B162="","",SUMIF('Stock OUT (Issue)'!$D$3:$D$302,B162,'Stock OUT (Issue)'!$G$3:$G$302))</f>
        <v/>
      </c>
      <c r="M162" s="19" t="str">
        <f t="shared" si="2"/>
        <v/>
      </c>
      <c r="N162" s="20" t="str">
        <f t="shared" si="3"/>
        <v/>
      </c>
      <c r="O162" s="14" t="str">
        <f t="shared" si="4"/>
        <v/>
      </c>
      <c r="P162" s="14"/>
      <c r="Q162" s="14"/>
    </row>
    <row r="163" ht="15.75" customHeight="1">
      <c r="A163" s="14" t="str">
        <f t="shared" si="1"/>
        <v/>
      </c>
      <c r="B163" s="14"/>
      <c r="C163" s="14"/>
      <c r="D163" s="14"/>
      <c r="E163" s="14"/>
      <c r="F163" s="14"/>
      <c r="G163" s="14"/>
      <c r="H163" s="19"/>
      <c r="I163" s="19"/>
      <c r="J163" s="19"/>
      <c r="K163" s="19" t="str">
        <f>IF(B163="","",SUMIF('Stock IN'!$C$3:$C$302,B163,'Stock IN'!$F$3:$F$302))</f>
        <v/>
      </c>
      <c r="L163" s="19" t="str">
        <f>IF(B163="","",SUMIF('Stock OUT (Issue)'!$D$3:$D$302,B163,'Stock OUT (Issue)'!$G$3:$G$302))</f>
        <v/>
      </c>
      <c r="M163" s="19" t="str">
        <f t="shared" si="2"/>
        <v/>
      </c>
      <c r="N163" s="20" t="str">
        <f t="shared" si="3"/>
        <v/>
      </c>
      <c r="O163" s="14" t="str">
        <f t="shared" si="4"/>
        <v/>
      </c>
      <c r="P163" s="14"/>
      <c r="Q163" s="14"/>
    </row>
    <row r="164" ht="15.75" customHeight="1">
      <c r="A164" s="14" t="str">
        <f t="shared" si="1"/>
        <v/>
      </c>
      <c r="B164" s="14"/>
      <c r="C164" s="14"/>
      <c r="D164" s="14"/>
      <c r="E164" s="14"/>
      <c r="F164" s="14"/>
      <c r="G164" s="14"/>
      <c r="H164" s="19"/>
      <c r="I164" s="19"/>
      <c r="J164" s="19"/>
      <c r="K164" s="19" t="str">
        <f>IF(B164="","",SUMIF('Stock IN'!$C$3:$C$302,B164,'Stock IN'!$F$3:$F$302))</f>
        <v/>
      </c>
      <c r="L164" s="19" t="str">
        <f>IF(B164="","",SUMIF('Stock OUT (Issue)'!$D$3:$D$302,B164,'Stock OUT (Issue)'!$G$3:$G$302))</f>
        <v/>
      </c>
      <c r="M164" s="19" t="str">
        <f t="shared" si="2"/>
        <v/>
      </c>
      <c r="N164" s="20" t="str">
        <f t="shared" si="3"/>
        <v/>
      </c>
      <c r="O164" s="14" t="str">
        <f t="shared" si="4"/>
        <v/>
      </c>
      <c r="P164" s="14"/>
      <c r="Q164" s="14"/>
    </row>
    <row r="165" ht="15.75" customHeight="1">
      <c r="A165" s="14" t="str">
        <f t="shared" si="1"/>
        <v/>
      </c>
      <c r="B165" s="14"/>
      <c r="C165" s="14"/>
      <c r="D165" s="14"/>
      <c r="E165" s="14"/>
      <c r="F165" s="14"/>
      <c r="G165" s="14"/>
      <c r="H165" s="19"/>
      <c r="I165" s="19"/>
      <c r="J165" s="19"/>
      <c r="K165" s="19" t="str">
        <f>IF(B165="","",SUMIF('Stock IN'!$C$3:$C$302,B165,'Stock IN'!$F$3:$F$302))</f>
        <v/>
      </c>
      <c r="L165" s="19" t="str">
        <f>IF(B165="","",SUMIF('Stock OUT (Issue)'!$D$3:$D$302,B165,'Stock OUT (Issue)'!$G$3:$G$302))</f>
        <v/>
      </c>
      <c r="M165" s="19" t="str">
        <f t="shared" si="2"/>
        <v/>
      </c>
      <c r="N165" s="20" t="str">
        <f t="shared" si="3"/>
        <v/>
      </c>
      <c r="O165" s="14" t="str">
        <f t="shared" si="4"/>
        <v/>
      </c>
      <c r="P165" s="14"/>
      <c r="Q165" s="14"/>
    </row>
    <row r="166" ht="15.75" customHeight="1">
      <c r="A166" s="14" t="str">
        <f t="shared" si="1"/>
        <v/>
      </c>
      <c r="B166" s="14"/>
      <c r="C166" s="14"/>
      <c r="D166" s="14"/>
      <c r="E166" s="14"/>
      <c r="F166" s="14"/>
      <c r="G166" s="14"/>
      <c r="H166" s="19"/>
      <c r="I166" s="19"/>
      <c r="J166" s="19"/>
      <c r="K166" s="19" t="str">
        <f>IF(B166="","",SUMIF('Stock IN'!$C$3:$C$302,B166,'Stock IN'!$F$3:$F$302))</f>
        <v/>
      </c>
      <c r="L166" s="19" t="str">
        <f>IF(B166="","",SUMIF('Stock OUT (Issue)'!$D$3:$D$302,B166,'Stock OUT (Issue)'!$G$3:$G$302))</f>
        <v/>
      </c>
      <c r="M166" s="19" t="str">
        <f t="shared" si="2"/>
        <v/>
      </c>
      <c r="N166" s="20" t="str">
        <f t="shared" si="3"/>
        <v/>
      </c>
      <c r="O166" s="14" t="str">
        <f t="shared" si="4"/>
        <v/>
      </c>
      <c r="P166" s="14"/>
      <c r="Q166" s="14"/>
    </row>
    <row r="167" ht="15.75" customHeight="1">
      <c r="A167" s="14" t="str">
        <f t="shared" si="1"/>
        <v/>
      </c>
      <c r="B167" s="14"/>
      <c r="C167" s="14"/>
      <c r="D167" s="14"/>
      <c r="E167" s="14"/>
      <c r="F167" s="14"/>
      <c r="G167" s="14"/>
      <c r="H167" s="19"/>
      <c r="I167" s="19"/>
      <c r="J167" s="19"/>
      <c r="K167" s="19" t="str">
        <f>IF(B167="","",SUMIF('Stock IN'!$C$3:$C$302,B167,'Stock IN'!$F$3:$F$302))</f>
        <v/>
      </c>
      <c r="L167" s="19" t="str">
        <f>IF(B167="","",SUMIF('Stock OUT (Issue)'!$D$3:$D$302,B167,'Stock OUT (Issue)'!$G$3:$G$302))</f>
        <v/>
      </c>
      <c r="M167" s="19" t="str">
        <f t="shared" si="2"/>
        <v/>
      </c>
      <c r="N167" s="20" t="str">
        <f t="shared" si="3"/>
        <v/>
      </c>
      <c r="O167" s="14" t="str">
        <f t="shared" si="4"/>
        <v/>
      </c>
      <c r="P167" s="14"/>
      <c r="Q167" s="14"/>
    </row>
    <row r="168" ht="15.75" customHeight="1">
      <c r="A168" s="14" t="str">
        <f t="shared" si="1"/>
        <v/>
      </c>
      <c r="B168" s="14"/>
      <c r="C168" s="14"/>
      <c r="D168" s="14"/>
      <c r="E168" s="14"/>
      <c r="F168" s="14"/>
      <c r="G168" s="14"/>
      <c r="H168" s="19"/>
      <c r="I168" s="19"/>
      <c r="J168" s="19"/>
      <c r="K168" s="19" t="str">
        <f>IF(B168="","",SUMIF('Stock IN'!$C$3:$C$302,B168,'Stock IN'!$F$3:$F$302))</f>
        <v/>
      </c>
      <c r="L168" s="19" t="str">
        <f>IF(B168="","",SUMIF('Stock OUT (Issue)'!$D$3:$D$302,B168,'Stock OUT (Issue)'!$G$3:$G$302))</f>
        <v/>
      </c>
      <c r="M168" s="19" t="str">
        <f t="shared" si="2"/>
        <v/>
      </c>
      <c r="N168" s="20" t="str">
        <f t="shared" si="3"/>
        <v/>
      </c>
      <c r="O168" s="14" t="str">
        <f t="shared" si="4"/>
        <v/>
      </c>
      <c r="P168" s="14"/>
      <c r="Q168" s="14"/>
    </row>
    <row r="169" ht="15.75" customHeight="1">
      <c r="A169" s="14" t="str">
        <f t="shared" si="1"/>
        <v/>
      </c>
      <c r="B169" s="14"/>
      <c r="C169" s="14"/>
      <c r="D169" s="14"/>
      <c r="E169" s="14"/>
      <c r="F169" s="14"/>
      <c r="G169" s="14"/>
      <c r="H169" s="19"/>
      <c r="I169" s="19"/>
      <c r="J169" s="19"/>
      <c r="K169" s="19" t="str">
        <f>IF(B169="","",SUMIF('Stock IN'!$C$3:$C$302,B169,'Stock IN'!$F$3:$F$302))</f>
        <v/>
      </c>
      <c r="L169" s="19" t="str">
        <f>IF(B169="","",SUMIF('Stock OUT (Issue)'!$D$3:$D$302,B169,'Stock OUT (Issue)'!$G$3:$G$302))</f>
        <v/>
      </c>
      <c r="M169" s="19" t="str">
        <f t="shared" si="2"/>
        <v/>
      </c>
      <c r="N169" s="20" t="str">
        <f t="shared" si="3"/>
        <v/>
      </c>
      <c r="O169" s="14" t="str">
        <f t="shared" si="4"/>
        <v/>
      </c>
      <c r="P169" s="14"/>
      <c r="Q169" s="14"/>
    </row>
    <row r="170" ht="15.75" customHeight="1">
      <c r="A170" s="14" t="str">
        <f t="shared" si="1"/>
        <v/>
      </c>
      <c r="B170" s="14"/>
      <c r="C170" s="14"/>
      <c r="D170" s="14"/>
      <c r="E170" s="14"/>
      <c r="F170" s="14"/>
      <c r="G170" s="14"/>
      <c r="H170" s="19"/>
      <c r="I170" s="19"/>
      <c r="J170" s="19"/>
      <c r="K170" s="19" t="str">
        <f>IF(B170="","",SUMIF('Stock IN'!$C$3:$C$302,B170,'Stock IN'!$F$3:$F$302))</f>
        <v/>
      </c>
      <c r="L170" s="19" t="str">
        <f>IF(B170="","",SUMIF('Stock OUT (Issue)'!$D$3:$D$302,B170,'Stock OUT (Issue)'!$G$3:$G$302))</f>
        <v/>
      </c>
      <c r="M170" s="19" t="str">
        <f t="shared" si="2"/>
        <v/>
      </c>
      <c r="N170" s="20" t="str">
        <f t="shared" si="3"/>
        <v/>
      </c>
      <c r="O170" s="14" t="str">
        <f t="shared" si="4"/>
        <v/>
      </c>
      <c r="P170" s="14"/>
      <c r="Q170" s="14"/>
    </row>
    <row r="171" ht="15.75" customHeight="1">
      <c r="A171" s="14" t="str">
        <f t="shared" si="1"/>
        <v/>
      </c>
      <c r="B171" s="14"/>
      <c r="C171" s="14"/>
      <c r="D171" s="14"/>
      <c r="E171" s="14"/>
      <c r="F171" s="14"/>
      <c r="G171" s="14"/>
      <c r="H171" s="19"/>
      <c r="I171" s="19"/>
      <c r="J171" s="19"/>
      <c r="K171" s="19" t="str">
        <f>IF(B171="","",SUMIF('Stock IN'!$C$3:$C$302,B171,'Stock IN'!$F$3:$F$302))</f>
        <v/>
      </c>
      <c r="L171" s="19" t="str">
        <f>IF(B171="","",SUMIF('Stock OUT (Issue)'!$D$3:$D$302,B171,'Stock OUT (Issue)'!$G$3:$G$302))</f>
        <v/>
      </c>
      <c r="M171" s="19" t="str">
        <f t="shared" si="2"/>
        <v/>
      </c>
      <c r="N171" s="20" t="str">
        <f t="shared" si="3"/>
        <v/>
      </c>
      <c r="O171" s="14" t="str">
        <f t="shared" si="4"/>
        <v/>
      </c>
      <c r="P171" s="14"/>
      <c r="Q171" s="14"/>
    </row>
    <row r="172" ht="15.75" customHeight="1">
      <c r="A172" s="14" t="str">
        <f t="shared" si="1"/>
        <v/>
      </c>
      <c r="B172" s="14"/>
      <c r="C172" s="14"/>
      <c r="D172" s="14"/>
      <c r="E172" s="14"/>
      <c r="F172" s="14"/>
      <c r="G172" s="14"/>
      <c r="H172" s="19"/>
      <c r="I172" s="19"/>
      <c r="J172" s="19"/>
      <c r="K172" s="19" t="str">
        <f>IF(B172="","",SUMIF('Stock IN'!$C$3:$C$302,B172,'Stock IN'!$F$3:$F$302))</f>
        <v/>
      </c>
      <c r="L172" s="19" t="str">
        <f>IF(B172="","",SUMIF('Stock OUT (Issue)'!$D$3:$D$302,B172,'Stock OUT (Issue)'!$G$3:$G$302))</f>
        <v/>
      </c>
      <c r="M172" s="19" t="str">
        <f t="shared" si="2"/>
        <v/>
      </c>
      <c r="N172" s="20" t="str">
        <f t="shared" si="3"/>
        <v/>
      </c>
      <c r="O172" s="14" t="str">
        <f t="shared" si="4"/>
        <v/>
      </c>
      <c r="P172" s="14"/>
      <c r="Q172" s="14"/>
    </row>
    <row r="173" ht="15.75" customHeight="1">
      <c r="A173" s="14" t="str">
        <f t="shared" si="1"/>
        <v/>
      </c>
      <c r="B173" s="14"/>
      <c r="C173" s="14"/>
      <c r="D173" s="14"/>
      <c r="E173" s="14"/>
      <c r="F173" s="14"/>
      <c r="G173" s="14"/>
      <c r="H173" s="19"/>
      <c r="I173" s="19"/>
      <c r="J173" s="19"/>
      <c r="K173" s="19" t="str">
        <f>IF(B173="","",SUMIF('Stock IN'!$C$3:$C$302,B173,'Stock IN'!$F$3:$F$302))</f>
        <v/>
      </c>
      <c r="L173" s="19" t="str">
        <f>IF(B173="","",SUMIF('Stock OUT (Issue)'!$D$3:$D$302,B173,'Stock OUT (Issue)'!$G$3:$G$302))</f>
        <v/>
      </c>
      <c r="M173" s="19" t="str">
        <f t="shared" si="2"/>
        <v/>
      </c>
      <c r="N173" s="20" t="str">
        <f t="shared" si="3"/>
        <v/>
      </c>
      <c r="O173" s="14" t="str">
        <f t="shared" si="4"/>
        <v/>
      </c>
      <c r="P173" s="14"/>
      <c r="Q173" s="14"/>
    </row>
    <row r="174" ht="15.75" customHeight="1">
      <c r="A174" s="14" t="str">
        <f t="shared" si="1"/>
        <v/>
      </c>
      <c r="B174" s="14"/>
      <c r="C174" s="14"/>
      <c r="D174" s="14"/>
      <c r="E174" s="14"/>
      <c r="F174" s="14"/>
      <c r="G174" s="14"/>
      <c r="H174" s="19"/>
      <c r="I174" s="19"/>
      <c r="J174" s="19"/>
      <c r="K174" s="19" t="str">
        <f>IF(B174="","",SUMIF('Stock IN'!$C$3:$C$302,B174,'Stock IN'!$F$3:$F$302))</f>
        <v/>
      </c>
      <c r="L174" s="19" t="str">
        <f>IF(B174="","",SUMIF('Stock OUT (Issue)'!$D$3:$D$302,B174,'Stock OUT (Issue)'!$G$3:$G$302))</f>
        <v/>
      </c>
      <c r="M174" s="19" t="str">
        <f t="shared" si="2"/>
        <v/>
      </c>
      <c r="N174" s="20" t="str">
        <f t="shared" si="3"/>
        <v/>
      </c>
      <c r="O174" s="14" t="str">
        <f t="shared" si="4"/>
        <v/>
      </c>
      <c r="P174" s="14"/>
      <c r="Q174" s="14"/>
    </row>
    <row r="175" ht="15.75" customHeight="1">
      <c r="A175" s="14" t="str">
        <f t="shared" si="1"/>
        <v/>
      </c>
      <c r="B175" s="14"/>
      <c r="C175" s="14"/>
      <c r="D175" s="14"/>
      <c r="E175" s="14"/>
      <c r="F175" s="14"/>
      <c r="G175" s="14"/>
      <c r="H175" s="19"/>
      <c r="I175" s="19"/>
      <c r="J175" s="19"/>
      <c r="K175" s="19" t="str">
        <f>IF(B175="","",SUMIF('Stock IN'!$C$3:$C$302,B175,'Stock IN'!$F$3:$F$302))</f>
        <v/>
      </c>
      <c r="L175" s="19" t="str">
        <f>IF(B175="","",SUMIF('Stock OUT (Issue)'!$D$3:$D$302,B175,'Stock OUT (Issue)'!$G$3:$G$302))</f>
        <v/>
      </c>
      <c r="M175" s="19" t="str">
        <f t="shared" si="2"/>
        <v/>
      </c>
      <c r="N175" s="20" t="str">
        <f t="shared" si="3"/>
        <v/>
      </c>
      <c r="O175" s="14" t="str">
        <f t="shared" si="4"/>
        <v/>
      </c>
      <c r="P175" s="14"/>
      <c r="Q175" s="14"/>
    </row>
    <row r="176" ht="15.75" customHeight="1">
      <c r="A176" s="14" t="str">
        <f t="shared" si="1"/>
        <v/>
      </c>
      <c r="B176" s="14"/>
      <c r="C176" s="14"/>
      <c r="D176" s="14"/>
      <c r="E176" s="14"/>
      <c r="F176" s="14"/>
      <c r="G176" s="14"/>
      <c r="H176" s="19"/>
      <c r="I176" s="19"/>
      <c r="J176" s="19"/>
      <c r="K176" s="19" t="str">
        <f>IF(B176="","",SUMIF('Stock IN'!$C$3:$C$302,B176,'Stock IN'!$F$3:$F$302))</f>
        <v/>
      </c>
      <c r="L176" s="19" t="str">
        <f>IF(B176="","",SUMIF('Stock OUT (Issue)'!$D$3:$D$302,B176,'Stock OUT (Issue)'!$G$3:$G$302))</f>
        <v/>
      </c>
      <c r="M176" s="19" t="str">
        <f t="shared" si="2"/>
        <v/>
      </c>
      <c r="N176" s="20" t="str">
        <f t="shared" si="3"/>
        <v/>
      </c>
      <c r="O176" s="14" t="str">
        <f t="shared" si="4"/>
        <v/>
      </c>
      <c r="P176" s="14"/>
      <c r="Q176" s="14"/>
    </row>
    <row r="177" ht="15.75" customHeight="1">
      <c r="A177" s="14" t="str">
        <f t="shared" si="1"/>
        <v/>
      </c>
      <c r="B177" s="14"/>
      <c r="C177" s="14"/>
      <c r="D177" s="14"/>
      <c r="E177" s="14"/>
      <c r="F177" s="14"/>
      <c r="G177" s="14"/>
      <c r="H177" s="19"/>
      <c r="I177" s="19"/>
      <c r="J177" s="19"/>
      <c r="K177" s="19" t="str">
        <f>IF(B177="","",SUMIF('Stock IN'!$C$3:$C$302,B177,'Stock IN'!$F$3:$F$302))</f>
        <v/>
      </c>
      <c r="L177" s="19" t="str">
        <f>IF(B177="","",SUMIF('Stock OUT (Issue)'!$D$3:$D$302,B177,'Stock OUT (Issue)'!$G$3:$G$302))</f>
        <v/>
      </c>
      <c r="M177" s="19" t="str">
        <f t="shared" si="2"/>
        <v/>
      </c>
      <c r="N177" s="20" t="str">
        <f t="shared" si="3"/>
        <v/>
      </c>
      <c r="O177" s="14" t="str">
        <f t="shared" si="4"/>
        <v/>
      </c>
      <c r="P177" s="14"/>
      <c r="Q177" s="14"/>
    </row>
    <row r="178" ht="15.75" customHeight="1">
      <c r="A178" s="14" t="str">
        <f t="shared" si="1"/>
        <v/>
      </c>
      <c r="B178" s="14"/>
      <c r="C178" s="14"/>
      <c r="D178" s="14"/>
      <c r="E178" s="14"/>
      <c r="F178" s="14"/>
      <c r="G178" s="14"/>
      <c r="H178" s="19"/>
      <c r="I178" s="19"/>
      <c r="J178" s="19"/>
      <c r="K178" s="19" t="str">
        <f>IF(B178="","",SUMIF('Stock IN'!$C$3:$C$302,B178,'Stock IN'!$F$3:$F$302))</f>
        <v/>
      </c>
      <c r="L178" s="19" t="str">
        <f>IF(B178="","",SUMIF('Stock OUT (Issue)'!$D$3:$D$302,B178,'Stock OUT (Issue)'!$G$3:$G$302))</f>
        <v/>
      </c>
      <c r="M178" s="19" t="str">
        <f t="shared" si="2"/>
        <v/>
      </c>
      <c r="N178" s="20" t="str">
        <f t="shared" si="3"/>
        <v/>
      </c>
      <c r="O178" s="14" t="str">
        <f t="shared" si="4"/>
        <v/>
      </c>
      <c r="P178" s="14"/>
      <c r="Q178" s="14"/>
    </row>
    <row r="179" ht="15.75" customHeight="1">
      <c r="A179" s="14" t="str">
        <f t="shared" si="1"/>
        <v/>
      </c>
      <c r="B179" s="14"/>
      <c r="C179" s="14"/>
      <c r="D179" s="14"/>
      <c r="E179" s="14"/>
      <c r="F179" s="14"/>
      <c r="G179" s="14"/>
      <c r="H179" s="19"/>
      <c r="I179" s="19"/>
      <c r="J179" s="19"/>
      <c r="K179" s="19" t="str">
        <f>IF(B179="","",SUMIF('Stock IN'!$C$3:$C$302,B179,'Stock IN'!$F$3:$F$302))</f>
        <v/>
      </c>
      <c r="L179" s="19" t="str">
        <f>IF(B179="","",SUMIF('Stock OUT (Issue)'!$D$3:$D$302,B179,'Stock OUT (Issue)'!$G$3:$G$302))</f>
        <v/>
      </c>
      <c r="M179" s="19" t="str">
        <f t="shared" si="2"/>
        <v/>
      </c>
      <c r="N179" s="20" t="str">
        <f t="shared" si="3"/>
        <v/>
      </c>
      <c r="O179" s="14" t="str">
        <f t="shared" si="4"/>
        <v/>
      </c>
      <c r="P179" s="14"/>
      <c r="Q179" s="14"/>
    </row>
    <row r="180" ht="15.75" customHeight="1">
      <c r="A180" s="14" t="str">
        <f t="shared" si="1"/>
        <v/>
      </c>
      <c r="B180" s="14"/>
      <c r="C180" s="14"/>
      <c r="D180" s="14"/>
      <c r="E180" s="14"/>
      <c r="F180" s="14"/>
      <c r="G180" s="14"/>
      <c r="H180" s="19"/>
      <c r="I180" s="19"/>
      <c r="J180" s="19"/>
      <c r="K180" s="19" t="str">
        <f>IF(B180="","",SUMIF('Stock IN'!$C$3:$C$302,B180,'Stock IN'!$F$3:$F$302))</f>
        <v/>
      </c>
      <c r="L180" s="19" t="str">
        <f>IF(B180="","",SUMIF('Stock OUT (Issue)'!$D$3:$D$302,B180,'Stock OUT (Issue)'!$G$3:$G$302))</f>
        <v/>
      </c>
      <c r="M180" s="19" t="str">
        <f t="shared" si="2"/>
        <v/>
      </c>
      <c r="N180" s="20" t="str">
        <f t="shared" si="3"/>
        <v/>
      </c>
      <c r="O180" s="14" t="str">
        <f t="shared" si="4"/>
        <v/>
      </c>
      <c r="P180" s="14"/>
      <c r="Q180" s="14"/>
    </row>
    <row r="181" ht="15.75" customHeight="1">
      <c r="A181" s="14" t="str">
        <f t="shared" si="1"/>
        <v/>
      </c>
      <c r="B181" s="14"/>
      <c r="C181" s="14"/>
      <c r="D181" s="14"/>
      <c r="E181" s="14"/>
      <c r="F181" s="14"/>
      <c r="G181" s="14"/>
      <c r="H181" s="19"/>
      <c r="I181" s="19"/>
      <c r="J181" s="19"/>
      <c r="K181" s="19" t="str">
        <f>IF(B181="","",SUMIF('Stock IN'!$C$3:$C$302,B181,'Stock IN'!$F$3:$F$302))</f>
        <v/>
      </c>
      <c r="L181" s="19" t="str">
        <f>IF(B181="","",SUMIF('Stock OUT (Issue)'!$D$3:$D$302,B181,'Stock OUT (Issue)'!$G$3:$G$302))</f>
        <v/>
      </c>
      <c r="M181" s="19" t="str">
        <f t="shared" si="2"/>
        <v/>
      </c>
      <c r="N181" s="20" t="str">
        <f t="shared" si="3"/>
        <v/>
      </c>
      <c r="O181" s="14" t="str">
        <f t="shared" si="4"/>
        <v/>
      </c>
      <c r="P181" s="14"/>
      <c r="Q181" s="14"/>
    </row>
    <row r="182" ht="15.75" customHeight="1">
      <c r="A182" s="14" t="str">
        <f t="shared" si="1"/>
        <v/>
      </c>
      <c r="B182" s="14"/>
      <c r="C182" s="14"/>
      <c r="D182" s="14"/>
      <c r="E182" s="14"/>
      <c r="F182" s="14"/>
      <c r="G182" s="14"/>
      <c r="H182" s="19"/>
      <c r="I182" s="19"/>
      <c r="J182" s="19"/>
      <c r="K182" s="19" t="str">
        <f>IF(B182="","",SUMIF('Stock IN'!$C$3:$C$302,B182,'Stock IN'!$F$3:$F$302))</f>
        <v/>
      </c>
      <c r="L182" s="19" t="str">
        <f>IF(B182="","",SUMIF('Stock OUT (Issue)'!$D$3:$D$302,B182,'Stock OUT (Issue)'!$G$3:$G$302))</f>
        <v/>
      </c>
      <c r="M182" s="19" t="str">
        <f t="shared" si="2"/>
        <v/>
      </c>
      <c r="N182" s="20" t="str">
        <f t="shared" si="3"/>
        <v/>
      </c>
      <c r="O182" s="14" t="str">
        <f t="shared" si="4"/>
        <v/>
      </c>
      <c r="P182" s="14"/>
      <c r="Q182" s="14"/>
    </row>
    <row r="183" ht="15.75" customHeight="1">
      <c r="A183" s="14" t="str">
        <f t="shared" si="1"/>
        <v/>
      </c>
      <c r="B183" s="14"/>
      <c r="C183" s="14"/>
      <c r="D183" s="14"/>
      <c r="E183" s="14"/>
      <c r="F183" s="14"/>
      <c r="G183" s="14"/>
      <c r="H183" s="19"/>
      <c r="I183" s="19"/>
      <c r="J183" s="19"/>
      <c r="K183" s="19" t="str">
        <f>IF(B183="","",SUMIF('Stock IN'!$C$3:$C$302,B183,'Stock IN'!$F$3:$F$302))</f>
        <v/>
      </c>
      <c r="L183" s="19" t="str">
        <f>IF(B183="","",SUMIF('Stock OUT (Issue)'!$D$3:$D$302,B183,'Stock OUT (Issue)'!$G$3:$G$302))</f>
        <v/>
      </c>
      <c r="M183" s="19" t="str">
        <f t="shared" si="2"/>
        <v/>
      </c>
      <c r="N183" s="20" t="str">
        <f t="shared" si="3"/>
        <v/>
      </c>
      <c r="O183" s="14" t="str">
        <f t="shared" si="4"/>
        <v/>
      </c>
      <c r="P183" s="14"/>
      <c r="Q183" s="14"/>
    </row>
    <row r="184" ht="15.75" customHeight="1">
      <c r="A184" s="14" t="str">
        <f t="shared" si="1"/>
        <v/>
      </c>
      <c r="B184" s="14"/>
      <c r="C184" s="14"/>
      <c r="D184" s="14"/>
      <c r="E184" s="14"/>
      <c r="F184" s="14"/>
      <c r="G184" s="14"/>
      <c r="H184" s="19"/>
      <c r="I184" s="19"/>
      <c r="J184" s="19"/>
      <c r="K184" s="19" t="str">
        <f>IF(B184="","",SUMIF('Stock IN'!$C$3:$C$302,B184,'Stock IN'!$F$3:$F$302))</f>
        <v/>
      </c>
      <c r="L184" s="19" t="str">
        <f>IF(B184="","",SUMIF('Stock OUT (Issue)'!$D$3:$D$302,B184,'Stock OUT (Issue)'!$G$3:$G$302))</f>
        <v/>
      </c>
      <c r="M184" s="19" t="str">
        <f t="shared" si="2"/>
        <v/>
      </c>
      <c r="N184" s="20" t="str">
        <f t="shared" si="3"/>
        <v/>
      </c>
      <c r="O184" s="14" t="str">
        <f t="shared" si="4"/>
        <v/>
      </c>
      <c r="P184" s="14"/>
      <c r="Q184" s="14"/>
    </row>
    <row r="185" ht="15.75" customHeight="1">
      <c r="A185" s="14" t="str">
        <f t="shared" si="1"/>
        <v/>
      </c>
      <c r="B185" s="14"/>
      <c r="C185" s="14"/>
      <c r="D185" s="14"/>
      <c r="E185" s="14"/>
      <c r="F185" s="14"/>
      <c r="G185" s="14"/>
      <c r="H185" s="19"/>
      <c r="I185" s="19"/>
      <c r="J185" s="19"/>
      <c r="K185" s="19" t="str">
        <f>IF(B185="","",SUMIF('Stock IN'!$C$3:$C$302,B185,'Stock IN'!$F$3:$F$302))</f>
        <v/>
      </c>
      <c r="L185" s="19" t="str">
        <f>IF(B185="","",SUMIF('Stock OUT (Issue)'!$D$3:$D$302,B185,'Stock OUT (Issue)'!$G$3:$G$302))</f>
        <v/>
      </c>
      <c r="M185" s="19" t="str">
        <f t="shared" si="2"/>
        <v/>
      </c>
      <c r="N185" s="20" t="str">
        <f t="shared" si="3"/>
        <v/>
      </c>
      <c r="O185" s="14" t="str">
        <f t="shared" si="4"/>
        <v/>
      </c>
      <c r="P185" s="14"/>
      <c r="Q185" s="14"/>
    </row>
    <row r="186" ht="15.75" customHeight="1">
      <c r="A186" s="14" t="str">
        <f t="shared" si="1"/>
        <v/>
      </c>
      <c r="B186" s="14"/>
      <c r="C186" s="14"/>
      <c r="D186" s="14"/>
      <c r="E186" s="14"/>
      <c r="F186" s="14"/>
      <c r="G186" s="14"/>
      <c r="H186" s="19"/>
      <c r="I186" s="19"/>
      <c r="J186" s="19"/>
      <c r="K186" s="19" t="str">
        <f>IF(B186="","",SUMIF('Stock IN'!$C$3:$C$302,B186,'Stock IN'!$F$3:$F$302))</f>
        <v/>
      </c>
      <c r="L186" s="19" t="str">
        <f>IF(B186="","",SUMIF('Stock OUT (Issue)'!$D$3:$D$302,B186,'Stock OUT (Issue)'!$G$3:$G$302))</f>
        <v/>
      </c>
      <c r="M186" s="19" t="str">
        <f t="shared" si="2"/>
        <v/>
      </c>
      <c r="N186" s="20" t="str">
        <f t="shared" si="3"/>
        <v/>
      </c>
      <c r="O186" s="14" t="str">
        <f t="shared" si="4"/>
        <v/>
      </c>
      <c r="P186" s="14"/>
      <c r="Q186" s="14"/>
    </row>
    <row r="187" ht="15.75" customHeight="1">
      <c r="A187" s="14" t="str">
        <f t="shared" si="1"/>
        <v/>
      </c>
      <c r="B187" s="14"/>
      <c r="C187" s="14"/>
      <c r="D187" s="14"/>
      <c r="E187" s="14"/>
      <c r="F187" s="14"/>
      <c r="G187" s="14"/>
      <c r="H187" s="19"/>
      <c r="I187" s="19"/>
      <c r="J187" s="19"/>
      <c r="K187" s="19" t="str">
        <f>IF(B187="","",SUMIF('Stock IN'!$C$3:$C$302,B187,'Stock IN'!$F$3:$F$302))</f>
        <v/>
      </c>
      <c r="L187" s="19" t="str">
        <f>IF(B187="","",SUMIF('Stock OUT (Issue)'!$D$3:$D$302,B187,'Stock OUT (Issue)'!$G$3:$G$302))</f>
        <v/>
      </c>
      <c r="M187" s="19" t="str">
        <f t="shared" si="2"/>
        <v/>
      </c>
      <c r="N187" s="20" t="str">
        <f t="shared" si="3"/>
        <v/>
      </c>
      <c r="O187" s="14" t="str">
        <f t="shared" si="4"/>
        <v/>
      </c>
      <c r="P187" s="14"/>
      <c r="Q187" s="14"/>
    </row>
    <row r="188" ht="15.75" customHeight="1">
      <c r="A188" s="14" t="str">
        <f t="shared" si="1"/>
        <v/>
      </c>
      <c r="B188" s="14"/>
      <c r="C188" s="14"/>
      <c r="D188" s="14"/>
      <c r="E188" s="14"/>
      <c r="F188" s="14"/>
      <c r="G188" s="14"/>
      <c r="H188" s="19"/>
      <c r="I188" s="19"/>
      <c r="J188" s="19"/>
      <c r="K188" s="19" t="str">
        <f>IF(B188="","",SUMIF('Stock IN'!$C$3:$C$302,B188,'Stock IN'!$F$3:$F$302))</f>
        <v/>
      </c>
      <c r="L188" s="19" t="str">
        <f>IF(B188="","",SUMIF('Stock OUT (Issue)'!$D$3:$D$302,B188,'Stock OUT (Issue)'!$G$3:$G$302))</f>
        <v/>
      </c>
      <c r="M188" s="19" t="str">
        <f t="shared" si="2"/>
        <v/>
      </c>
      <c r="N188" s="20" t="str">
        <f t="shared" si="3"/>
        <v/>
      </c>
      <c r="O188" s="14" t="str">
        <f t="shared" si="4"/>
        <v/>
      </c>
      <c r="P188" s="14"/>
      <c r="Q188" s="14"/>
    </row>
    <row r="189" ht="15.75" customHeight="1">
      <c r="A189" s="14" t="str">
        <f t="shared" si="1"/>
        <v/>
      </c>
      <c r="B189" s="14"/>
      <c r="C189" s="14"/>
      <c r="D189" s="14"/>
      <c r="E189" s="14"/>
      <c r="F189" s="14"/>
      <c r="G189" s="14"/>
      <c r="H189" s="19"/>
      <c r="I189" s="19"/>
      <c r="J189" s="19"/>
      <c r="K189" s="19" t="str">
        <f>IF(B189="","",SUMIF('Stock IN'!$C$3:$C$302,B189,'Stock IN'!$F$3:$F$302))</f>
        <v/>
      </c>
      <c r="L189" s="19" t="str">
        <f>IF(B189="","",SUMIF('Stock OUT (Issue)'!$D$3:$D$302,B189,'Stock OUT (Issue)'!$G$3:$G$302))</f>
        <v/>
      </c>
      <c r="M189" s="19" t="str">
        <f t="shared" si="2"/>
        <v/>
      </c>
      <c r="N189" s="20" t="str">
        <f t="shared" si="3"/>
        <v/>
      </c>
      <c r="O189" s="14" t="str">
        <f t="shared" si="4"/>
        <v/>
      </c>
      <c r="P189" s="14"/>
      <c r="Q189" s="14"/>
    </row>
    <row r="190" ht="15.75" customHeight="1">
      <c r="A190" s="14" t="str">
        <f t="shared" si="1"/>
        <v/>
      </c>
      <c r="B190" s="14"/>
      <c r="C190" s="14"/>
      <c r="D190" s="14"/>
      <c r="E190" s="14"/>
      <c r="F190" s="14"/>
      <c r="G190" s="14"/>
      <c r="H190" s="19"/>
      <c r="I190" s="19"/>
      <c r="J190" s="19"/>
      <c r="K190" s="19" t="str">
        <f>IF(B190="","",SUMIF('Stock IN'!$C$3:$C$302,B190,'Stock IN'!$F$3:$F$302))</f>
        <v/>
      </c>
      <c r="L190" s="19" t="str">
        <f>IF(B190="","",SUMIF('Stock OUT (Issue)'!$D$3:$D$302,B190,'Stock OUT (Issue)'!$G$3:$G$302))</f>
        <v/>
      </c>
      <c r="M190" s="19" t="str">
        <f t="shared" si="2"/>
        <v/>
      </c>
      <c r="N190" s="20" t="str">
        <f t="shared" si="3"/>
        <v/>
      </c>
      <c r="O190" s="14" t="str">
        <f t="shared" si="4"/>
        <v/>
      </c>
      <c r="P190" s="14"/>
      <c r="Q190" s="14"/>
    </row>
    <row r="191" ht="15.75" customHeight="1">
      <c r="A191" s="14" t="str">
        <f t="shared" si="1"/>
        <v/>
      </c>
      <c r="B191" s="14"/>
      <c r="C191" s="14"/>
      <c r="D191" s="14"/>
      <c r="E191" s="14"/>
      <c r="F191" s="14"/>
      <c r="G191" s="14"/>
      <c r="H191" s="19"/>
      <c r="I191" s="19"/>
      <c r="J191" s="19"/>
      <c r="K191" s="19" t="str">
        <f>IF(B191="","",SUMIF('Stock IN'!$C$3:$C$302,B191,'Stock IN'!$F$3:$F$302))</f>
        <v/>
      </c>
      <c r="L191" s="19" t="str">
        <f>IF(B191="","",SUMIF('Stock OUT (Issue)'!$D$3:$D$302,B191,'Stock OUT (Issue)'!$G$3:$G$302))</f>
        <v/>
      </c>
      <c r="M191" s="19" t="str">
        <f t="shared" si="2"/>
        <v/>
      </c>
      <c r="N191" s="20" t="str">
        <f t="shared" si="3"/>
        <v/>
      </c>
      <c r="O191" s="14" t="str">
        <f t="shared" si="4"/>
        <v/>
      </c>
      <c r="P191" s="14"/>
      <c r="Q191" s="14"/>
    </row>
    <row r="192" ht="15.75" customHeight="1">
      <c r="A192" s="14" t="str">
        <f t="shared" si="1"/>
        <v/>
      </c>
      <c r="B192" s="14"/>
      <c r="C192" s="14"/>
      <c r="D192" s="14"/>
      <c r="E192" s="14"/>
      <c r="F192" s="14"/>
      <c r="G192" s="14"/>
      <c r="H192" s="19"/>
      <c r="I192" s="19"/>
      <c r="J192" s="19"/>
      <c r="K192" s="19" t="str">
        <f>IF(B192="","",SUMIF('Stock IN'!$C$3:$C$302,B192,'Stock IN'!$F$3:$F$302))</f>
        <v/>
      </c>
      <c r="L192" s="19" t="str">
        <f>IF(B192="","",SUMIF('Stock OUT (Issue)'!$D$3:$D$302,B192,'Stock OUT (Issue)'!$G$3:$G$302))</f>
        <v/>
      </c>
      <c r="M192" s="19" t="str">
        <f t="shared" si="2"/>
        <v/>
      </c>
      <c r="N192" s="20" t="str">
        <f t="shared" si="3"/>
        <v/>
      </c>
      <c r="O192" s="14" t="str">
        <f t="shared" si="4"/>
        <v/>
      </c>
      <c r="P192" s="14"/>
      <c r="Q192" s="14"/>
    </row>
    <row r="193" ht="15.75" customHeight="1">
      <c r="A193" s="14" t="str">
        <f t="shared" si="1"/>
        <v/>
      </c>
      <c r="B193" s="14"/>
      <c r="C193" s="14"/>
      <c r="D193" s="14"/>
      <c r="E193" s="14"/>
      <c r="F193" s="14"/>
      <c r="G193" s="14"/>
      <c r="H193" s="19"/>
      <c r="I193" s="19"/>
      <c r="J193" s="19"/>
      <c r="K193" s="19" t="str">
        <f>IF(B193="","",SUMIF('Stock IN'!$C$3:$C$302,B193,'Stock IN'!$F$3:$F$302))</f>
        <v/>
      </c>
      <c r="L193" s="19" t="str">
        <f>IF(B193="","",SUMIF('Stock OUT (Issue)'!$D$3:$D$302,B193,'Stock OUT (Issue)'!$G$3:$G$302))</f>
        <v/>
      </c>
      <c r="M193" s="19" t="str">
        <f t="shared" si="2"/>
        <v/>
      </c>
      <c r="N193" s="20" t="str">
        <f t="shared" si="3"/>
        <v/>
      </c>
      <c r="O193" s="14" t="str">
        <f t="shared" si="4"/>
        <v/>
      </c>
      <c r="P193" s="14"/>
      <c r="Q193" s="14"/>
    </row>
    <row r="194" ht="15.75" customHeight="1">
      <c r="A194" s="14" t="str">
        <f t="shared" si="1"/>
        <v/>
      </c>
      <c r="B194" s="14"/>
      <c r="C194" s="14"/>
      <c r="D194" s="14"/>
      <c r="E194" s="14"/>
      <c r="F194" s="14"/>
      <c r="G194" s="14"/>
      <c r="H194" s="19"/>
      <c r="I194" s="19"/>
      <c r="J194" s="19"/>
      <c r="K194" s="19" t="str">
        <f>IF(B194="","",SUMIF('Stock IN'!$C$3:$C$302,B194,'Stock IN'!$F$3:$F$302))</f>
        <v/>
      </c>
      <c r="L194" s="19" t="str">
        <f>IF(B194="","",SUMIF('Stock OUT (Issue)'!$D$3:$D$302,B194,'Stock OUT (Issue)'!$G$3:$G$302))</f>
        <v/>
      </c>
      <c r="M194" s="19" t="str">
        <f t="shared" si="2"/>
        <v/>
      </c>
      <c r="N194" s="20" t="str">
        <f t="shared" si="3"/>
        <v/>
      </c>
      <c r="O194" s="14" t="str">
        <f t="shared" si="4"/>
        <v/>
      </c>
      <c r="P194" s="14"/>
      <c r="Q194" s="14"/>
    </row>
    <row r="195" ht="15.75" customHeight="1">
      <c r="A195" s="14" t="str">
        <f t="shared" si="1"/>
        <v/>
      </c>
      <c r="B195" s="14"/>
      <c r="C195" s="14"/>
      <c r="D195" s="14"/>
      <c r="E195" s="14"/>
      <c r="F195" s="14"/>
      <c r="G195" s="14"/>
      <c r="H195" s="19"/>
      <c r="I195" s="19"/>
      <c r="J195" s="19"/>
      <c r="K195" s="19" t="str">
        <f>IF(B195="","",SUMIF('Stock IN'!$C$3:$C$302,B195,'Stock IN'!$F$3:$F$302))</f>
        <v/>
      </c>
      <c r="L195" s="19" t="str">
        <f>IF(B195="","",SUMIF('Stock OUT (Issue)'!$D$3:$D$302,B195,'Stock OUT (Issue)'!$G$3:$G$302))</f>
        <v/>
      </c>
      <c r="M195" s="19" t="str">
        <f t="shared" si="2"/>
        <v/>
      </c>
      <c r="N195" s="20" t="str">
        <f t="shared" si="3"/>
        <v/>
      </c>
      <c r="O195" s="14" t="str">
        <f t="shared" si="4"/>
        <v/>
      </c>
      <c r="P195" s="14"/>
      <c r="Q195" s="14"/>
    </row>
    <row r="196" ht="15.75" customHeight="1">
      <c r="A196" s="14" t="str">
        <f t="shared" si="1"/>
        <v/>
      </c>
      <c r="B196" s="14"/>
      <c r="C196" s="14"/>
      <c r="D196" s="14"/>
      <c r="E196" s="14"/>
      <c r="F196" s="14"/>
      <c r="G196" s="14"/>
      <c r="H196" s="19"/>
      <c r="I196" s="19"/>
      <c r="J196" s="19"/>
      <c r="K196" s="19" t="str">
        <f>IF(B196="","",SUMIF('Stock IN'!$C$3:$C$302,B196,'Stock IN'!$F$3:$F$302))</f>
        <v/>
      </c>
      <c r="L196" s="19" t="str">
        <f>IF(B196="","",SUMIF('Stock OUT (Issue)'!$D$3:$D$302,B196,'Stock OUT (Issue)'!$G$3:$G$302))</f>
        <v/>
      </c>
      <c r="M196" s="19" t="str">
        <f t="shared" si="2"/>
        <v/>
      </c>
      <c r="N196" s="20" t="str">
        <f t="shared" si="3"/>
        <v/>
      </c>
      <c r="O196" s="14" t="str">
        <f t="shared" si="4"/>
        <v/>
      </c>
      <c r="P196" s="14"/>
      <c r="Q196" s="14"/>
    </row>
    <row r="197" ht="15.75" customHeight="1">
      <c r="A197" s="14" t="str">
        <f t="shared" si="1"/>
        <v/>
      </c>
      <c r="B197" s="14"/>
      <c r="C197" s="14"/>
      <c r="D197" s="14"/>
      <c r="E197" s="14"/>
      <c r="F197" s="14"/>
      <c r="G197" s="14"/>
      <c r="H197" s="19"/>
      <c r="I197" s="19"/>
      <c r="J197" s="19"/>
      <c r="K197" s="19" t="str">
        <f>IF(B197="","",SUMIF('Stock IN'!$C$3:$C$302,B197,'Stock IN'!$F$3:$F$302))</f>
        <v/>
      </c>
      <c r="L197" s="19" t="str">
        <f>IF(B197="","",SUMIF('Stock OUT (Issue)'!$D$3:$D$302,B197,'Stock OUT (Issue)'!$G$3:$G$302))</f>
        <v/>
      </c>
      <c r="M197" s="19" t="str">
        <f t="shared" si="2"/>
        <v/>
      </c>
      <c r="N197" s="20" t="str">
        <f t="shared" si="3"/>
        <v/>
      </c>
      <c r="O197" s="14" t="str">
        <f t="shared" si="4"/>
        <v/>
      </c>
      <c r="P197" s="14"/>
      <c r="Q197" s="14"/>
    </row>
    <row r="198" ht="15.75" customHeight="1">
      <c r="A198" s="14" t="str">
        <f t="shared" si="1"/>
        <v/>
      </c>
      <c r="B198" s="14"/>
      <c r="C198" s="14"/>
      <c r="D198" s="14"/>
      <c r="E198" s="14"/>
      <c r="F198" s="14"/>
      <c r="G198" s="14"/>
      <c r="H198" s="19"/>
      <c r="I198" s="19"/>
      <c r="J198" s="19"/>
      <c r="K198" s="19" t="str">
        <f>IF(B198="","",SUMIF('Stock IN'!$C$3:$C$302,B198,'Stock IN'!$F$3:$F$302))</f>
        <v/>
      </c>
      <c r="L198" s="19" t="str">
        <f>IF(B198="","",SUMIF('Stock OUT (Issue)'!$D$3:$D$302,B198,'Stock OUT (Issue)'!$G$3:$G$302))</f>
        <v/>
      </c>
      <c r="M198" s="19" t="str">
        <f t="shared" si="2"/>
        <v/>
      </c>
      <c r="N198" s="20" t="str">
        <f t="shared" si="3"/>
        <v/>
      </c>
      <c r="O198" s="14" t="str">
        <f t="shared" si="4"/>
        <v/>
      </c>
      <c r="P198" s="14"/>
      <c r="Q198" s="14"/>
    </row>
    <row r="199" ht="15.75" customHeight="1">
      <c r="A199" s="14" t="str">
        <f t="shared" si="1"/>
        <v/>
      </c>
      <c r="B199" s="14"/>
      <c r="C199" s="14"/>
      <c r="D199" s="14"/>
      <c r="E199" s="14"/>
      <c r="F199" s="14"/>
      <c r="G199" s="14"/>
      <c r="H199" s="19"/>
      <c r="I199" s="19"/>
      <c r="J199" s="19"/>
      <c r="K199" s="19" t="str">
        <f>IF(B199="","",SUMIF('Stock IN'!$C$3:$C$302,B199,'Stock IN'!$F$3:$F$302))</f>
        <v/>
      </c>
      <c r="L199" s="19" t="str">
        <f>IF(B199="","",SUMIF('Stock OUT (Issue)'!$D$3:$D$302,B199,'Stock OUT (Issue)'!$G$3:$G$302))</f>
        <v/>
      </c>
      <c r="M199" s="19" t="str">
        <f t="shared" si="2"/>
        <v/>
      </c>
      <c r="N199" s="20" t="str">
        <f t="shared" si="3"/>
        <v/>
      </c>
      <c r="O199" s="14" t="str">
        <f t="shared" si="4"/>
        <v/>
      </c>
      <c r="P199" s="14"/>
      <c r="Q199" s="14"/>
    </row>
    <row r="200" ht="15.75" customHeight="1">
      <c r="A200" s="14" t="str">
        <f t="shared" si="1"/>
        <v/>
      </c>
      <c r="B200" s="14"/>
      <c r="C200" s="14"/>
      <c r="D200" s="14"/>
      <c r="E200" s="14"/>
      <c r="F200" s="14"/>
      <c r="G200" s="14"/>
      <c r="H200" s="19"/>
      <c r="I200" s="19"/>
      <c r="J200" s="19"/>
      <c r="K200" s="19" t="str">
        <f>IF(B200="","",SUMIF('Stock IN'!$C$3:$C$302,B200,'Stock IN'!$F$3:$F$302))</f>
        <v/>
      </c>
      <c r="L200" s="19" t="str">
        <f>IF(B200="","",SUMIF('Stock OUT (Issue)'!$D$3:$D$302,B200,'Stock OUT (Issue)'!$G$3:$G$302))</f>
        <v/>
      </c>
      <c r="M200" s="19" t="str">
        <f t="shared" si="2"/>
        <v/>
      </c>
      <c r="N200" s="20" t="str">
        <f t="shared" si="3"/>
        <v/>
      </c>
      <c r="O200" s="14" t="str">
        <f t="shared" si="4"/>
        <v/>
      </c>
      <c r="P200" s="14"/>
      <c r="Q200" s="14"/>
    </row>
    <row r="201" ht="15.75" customHeight="1">
      <c r="A201" s="14" t="str">
        <f t="shared" si="1"/>
        <v/>
      </c>
      <c r="B201" s="14"/>
      <c r="C201" s="14"/>
      <c r="D201" s="14"/>
      <c r="E201" s="14"/>
      <c r="F201" s="14"/>
      <c r="G201" s="14"/>
      <c r="H201" s="19"/>
      <c r="I201" s="19"/>
      <c r="J201" s="19"/>
      <c r="K201" s="19" t="str">
        <f>IF(B201="","",SUMIF('Stock IN'!$C$3:$C$302,B201,'Stock IN'!$F$3:$F$302))</f>
        <v/>
      </c>
      <c r="L201" s="19" t="str">
        <f>IF(B201="","",SUMIF('Stock OUT (Issue)'!$D$3:$D$302,B201,'Stock OUT (Issue)'!$G$3:$G$302))</f>
        <v/>
      </c>
      <c r="M201" s="19" t="str">
        <f t="shared" si="2"/>
        <v/>
      </c>
      <c r="N201" s="20" t="str">
        <f t="shared" si="3"/>
        <v/>
      </c>
      <c r="O201" s="14" t="str">
        <f t="shared" si="4"/>
        <v/>
      </c>
      <c r="P201" s="14"/>
      <c r="Q201" s="14"/>
    </row>
    <row r="202" ht="15.75" customHeight="1">
      <c r="A202" s="14" t="str">
        <f t="shared" si="1"/>
        <v/>
      </c>
      <c r="B202" s="14"/>
      <c r="C202" s="14"/>
      <c r="D202" s="14"/>
      <c r="E202" s="14"/>
      <c r="F202" s="14"/>
      <c r="G202" s="14"/>
      <c r="H202" s="19"/>
      <c r="I202" s="19"/>
      <c r="J202" s="19"/>
      <c r="K202" s="19" t="str">
        <f>IF(B202="","",SUMIF('Stock IN'!$C$3:$C$302,B202,'Stock IN'!$F$3:$F$302))</f>
        <v/>
      </c>
      <c r="L202" s="19" t="str">
        <f>IF(B202="","",SUMIF('Stock OUT (Issue)'!$D$3:$D$302,B202,'Stock OUT (Issue)'!$G$3:$G$302))</f>
        <v/>
      </c>
      <c r="M202" s="19" t="str">
        <f t="shared" si="2"/>
        <v/>
      </c>
      <c r="N202" s="20" t="str">
        <f t="shared" si="3"/>
        <v/>
      </c>
      <c r="O202" s="14" t="str">
        <f t="shared" si="4"/>
        <v/>
      </c>
      <c r="P202" s="14"/>
      <c r="Q202" s="14"/>
    </row>
    <row r="203" ht="15.75" customHeight="1">
      <c r="A203" s="14" t="str">
        <f t="shared" si="1"/>
        <v/>
      </c>
      <c r="B203" s="14"/>
      <c r="C203" s="14"/>
      <c r="D203" s="14"/>
      <c r="E203" s="14"/>
      <c r="F203" s="14"/>
      <c r="G203" s="14"/>
      <c r="H203" s="19"/>
      <c r="I203" s="19"/>
      <c r="J203" s="19"/>
      <c r="K203" s="19" t="str">
        <f>IF(B203="","",SUMIF('Stock IN'!$C$3:$C$302,B203,'Stock IN'!$F$3:$F$302))</f>
        <v/>
      </c>
      <c r="L203" s="19" t="str">
        <f>IF(B203="","",SUMIF('Stock OUT (Issue)'!$D$3:$D$302,B203,'Stock OUT (Issue)'!$G$3:$G$302))</f>
        <v/>
      </c>
      <c r="M203" s="19" t="str">
        <f t="shared" si="2"/>
        <v/>
      </c>
      <c r="N203" s="20" t="str">
        <f t="shared" si="3"/>
        <v/>
      </c>
      <c r="O203" s="14" t="str">
        <f t="shared" si="4"/>
        <v/>
      </c>
      <c r="P203" s="14"/>
      <c r="Q203" s="14"/>
    </row>
    <row r="204" ht="15.75" customHeight="1">
      <c r="A204" s="14" t="str">
        <f t="shared" si="1"/>
        <v/>
      </c>
      <c r="B204" s="14"/>
      <c r="C204" s="14"/>
      <c r="D204" s="14"/>
      <c r="E204" s="14"/>
      <c r="F204" s="14"/>
      <c r="G204" s="14"/>
      <c r="H204" s="19"/>
      <c r="I204" s="19"/>
      <c r="J204" s="19"/>
      <c r="K204" s="19" t="str">
        <f>IF(B204="","",SUMIF('Stock IN'!$C$3:$C$302,B204,'Stock IN'!$F$3:$F$302))</f>
        <v/>
      </c>
      <c r="L204" s="19" t="str">
        <f>IF(B204="","",SUMIF('Stock OUT (Issue)'!$D$3:$D$302,B204,'Stock OUT (Issue)'!$G$3:$G$302))</f>
        <v/>
      </c>
      <c r="M204" s="19" t="str">
        <f t="shared" si="2"/>
        <v/>
      </c>
      <c r="N204" s="20" t="str">
        <f t="shared" si="3"/>
        <v/>
      </c>
      <c r="O204" s="14" t="str">
        <f t="shared" si="4"/>
        <v/>
      </c>
      <c r="P204" s="14"/>
      <c r="Q204" s="14"/>
    </row>
    <row r="205" ht="15.75" customHeight="1">
      <c r="A205" s="14" t="str">
        <f t="shared" si="1"/>
        <v/>
      </c>
      <c r="B205" s="14"/>
      <c r="C205" s="14"/>
      <c r="D205" s="14"/>
      <c r="E205" s="14"/>
      <c r="F205" s="14"/>
      <c r="G205" s="14"/>
      <c r="H205" s="19"/>
      <c r="I205" s="19"/>
      <c r="J205" s="19"/>
      <c r="K205" s="19" t="str">
        <f>IF(B205="","",SUMIF('Stock IN'!$C$3:$C$302,B205,'Stock IN'!$F$3:$F$302))</f>
        <v/>
      </c>
      <c r="L205" s="19" t="str">
        <f>IF(B205="","",SUMIF('Stock OUT (Issue)'!$D$3:$D$302,B205,'Stock OUT (Issue)'!$G$3:$G$302))</f>
        <v/>
      </c>
      <c r="M205" s="19" t="str">
        <f t="shared" si="2"/>
        <v/>
      </c>
      <c r="N205" s="20" t="str">
        <f t="shared" si="3"/>
        <v/>
      </c>
      <c r="O205" s="14" t="str">
        <f t="shared" si="4"/>
        <v/>
      </c>
      <c r="P205" s="14"/>
      <c r="Q205" s="14"/>
    </row>
    <row r="206" ht="15.75" customHeight="1">
      <c r="A206" s="14" t="str">
        <f t="shared" si="1"/>
        <v/>
      </c>
      <c r="B206" s="14"/>
      <c r="C206" s="14"/>
      <c r="D206" s="14"/>
      <c r="E206" s="14"/>
      <c r="F206" s="14"/>
      <c r="G206" s="14"/>
      <c r="H206" s="19"/>
      <c r="I206" s="19"/>
      <c r="J206" s="19"/>
      <c r="K206" s="19" t="str">
        <f>IF(B206="","",SUMIF('Stock IN'!$C$3:$C$302,B206,'Stock IN'!$F$3:$F$302))</f>
        <v/>
      </c>
      <c r="L206" s="19" t="str">
        <f>IF(B206="","",SUMIF('Stock OUT (Issue)'!$D$3:$D$302,B206,'Stock OUT (Issue)'!$G$3:$G$302))</f>
        <v/>
      </c>
      <c r="M206" s="19" t="str">
        <f t="shared" si="2"/>
        <v/>
      </c>
      <c r="N206" s="20" t="str">
        <f t="shared" si="3"/>
        <v/>
      </c>
      <c r="O206" s="14" t="str">
        <f t="shared" si="4"/>
        <v/>
      </c>
      <c r="P206" s="14"/>
      <c r="Q206" s="14"/>
    </row>
    <row r="207" ht="15.75" customHeight="1">
      <c r="A207" s="14" t="str">
        <f t="shared" si="1"/>
        <v/>
      </c>
      <c r="B207" s="14"/>
      <c r="C207" s="14"/>
      <c r="D207" s="14"/>
      <c r="E207" s="14"/>
      <c r="F207" s="14"/>
      <c r="G207" s="14"/>
      <c r="H207" s="19"/>
      <c r="I207" s="19"/>
      <c r="J207" s="19"/>
      <c r="K207" s="19" t="str">
        <f>IF(B207="","",SUMIF('Stock IN'!$C$3:$C$302,B207,'Stock IN'!$F$3:$F$302))</f>
        <v/>
      </c>
      <c r="L207" s="19" t="str">
        <f>IF(B207="","",SUMIF('Stock OUT (Issue)'!$D$3:$D$302,B207,'Stock OUT (Issue)'!$G$3:$G$302))</f>
        <v/>
      </c>
      <c r="M207" s="19" t="str">
        <f t="shared" si="2"/>
        <v/>
      </c>
      <c r="N207" s="20" t="str">
        <f t="shared" si="3"/>
        <v/>
      </c>
      <c r="O207" s="14" t="str">
        <f t="shared" si="4"/>
        <v/>
      </c>
      <c r="P207" s="14"/>
      <c r="Q207" s="14"/>
    </row>
    <row r="208" ht="15.75" customHeight="1">
      <c r="A208" s="14" t="str">
        <f t="shared" si="1"/>
        <v/>
      </c>
      <c r="B208" s="14"/>
      <c r="C208" s="14"/>
      <c r="D208" s="14"/>
      <c r="E208" s="14"/>
      <c r="F208" s="14"/>
      <c r="G208" s="14"/>
      <c r="H208" s="19"/>
      <c r="I208" s="19"/>
      <c r="J208" s="19"/>
      <c r="K208" s="19" t="str">
        <f>IF(B208="","",SUMIF('Stock IN'!$C$3:$C$302,B208,'Stock IN'!$F$3:$F$302))</f>
        <v/>
      </c>
      <c r="L208" s="19" t="str">
        <f>IF(B208="","",SUMIF('Stock OUT (Issue)'!$D$3:$D$302,B208,'Stock OUT (Issue)'!$G$3:$G$302))</f>
        <v/>
      </c>
      <c r="M208" s="19" t="str">
        <f t="shared" si="2"/>
        <v/>
      </c>
      <c r="N208" s="20" t="str">
        <f t="shared" si="3"/>
        <v/>
      </c>
      <c r="O208" s="14" t="str">
        <f t="shared" si="4"/>
        <v/>
      </c>
      <c r="P208" s="14"/>
      <c r="Q208" s="14"/>
    </row>
    <row r="209" ht="15.75" customHeight="1">
      <c r="A209" s="14" t="str">
        <f t="shared" si="1"/>
        <v/>
      </c>
      <c r="B209" s="14"/>
      <c r="C209" s="14"/>
      <c r="D209" s="14"/>
      <c r="E209" s="14"/>
      <c r="F209" s="14"/>
      <c r="G209" s="14"/>
      <c r="H209" s="19"/>
      <c r="I209" s="19"/>
      <c r="J209" s="19"/>
      <c r="K209" s="19" t="str">
        <f>IF(B209="","",SUMIF('Stock IN'!$C$3:$C$302,B209,'Stock IN'!$F$3:$F$302))</f>
        <v/>
      </c>
      <c r="L209" s="19" t="str">
        <f>IF(B209="","",SUMIF('Stock OUT (Issue)'!$D$3:$D$302,B209,'Stock OUT (Issue)'!$G$3:$G$302))</f>
        <v/>
      </c>
      <c r="M209" s="19" t="str">
        <f t="shared" si="2"/>
        <v/>
      </c>
      <c r="N209" s="20" t="str">
        <f t="shared" si="3"/>
        <v/>
      </c>
      <c r="O209" s="14" t="str">
        <f t="shared" si="4"/>
        <v/>
      </c>
      <c r="P209" s="14"/>
      <c r="Q209" s="14"/>
    </row>
    <row r="210" ht="15.75" customHeight="1">
      <c r="A210" s="14" t="str">
        <f t="shared" si="1"/>
        <v/>
      </c>
      <c r="B210" s="14"/>
      <c r="C210" s="14"/>
      <c r="D210" s="14"/>
      <c r="E210" s="14"/>
      <c r="F210" s="14"/>
      <c r="G210" s="14"/>
      <c r="H210" s="19"/>
      <c r="I210" s="19"/>
      <c r="J210" s="19"/>
      <c r="K210" s="19" t="str">
        <f>IF(B210="","",SUMIF('Stock IN'!$C$3:$C$302,B210,'Stock IN'!$F$3:$F$302))</f>
        <v/>
      </c>
      <c r="L210" s="19" t="str">
        <f>IF(B210="","",SUMIF('Stock OUT (Issue)'!$D$3:$D$302,B210,'Stock OUT (Issue)'!$G$3:$G$302))</f>
        <v/>
      </c>
      <c r="M210" s="19" t="str">
        <f t="shared" si="2"/>
        <v/>
      </c>
      <c r="N210" s="20" t="str">
        <f t="shared" si="3"/>
        <v/>
      </c>
      <c r="O210" s="14" t="str">
        <f t="shared" si="4"/>
        <v/>
      </c>
      <c r="P210" s="14"/>
      <c r="Q210" s="14"/>
    </row>
    <row r="211" ht="15.75" customHeight="1">
      <c r="A211" s="14" t="str">
        <f t="shared" si="1"/>
        <v/>
      </c>
      <c r="B211" s="14"/>
      <c r="C211" s="14"/>
      <c r="D211" s="14"/>
      <c r="E211" s="14"/>
      <c r="F211" s="14"/>
      <c r="G211" s="14"/>
      <c r="H211" s="19"/>
      <c r="I211" s="19"/>
      <c r="J211" s="19"/>
      <c r="K211" s="19" t="str">
        <f>IF(B211="","",SUMIF('Stock IN'!$C$3:$C$302,B211,'Stock IN'!$F$3:$F$302))</f>
        <v/>
      </c>
      <c r="L211" s="19" t="str">
        <f>IF(B211="","",SUMIF('Stock OUT (Issue)'!$D$3:$D$302,B211,'Stock OUT (Issue)'!$G$3:$G$302))</f>
        <v/>
      </c>
      <c r="M211" s="19" t="str">
        <f t="shared" si="2"/>
        <v/>
      </c>
      <c r="N211" s="20" t="str">
        <f t="shared" si="3"/>
        <v/>
      </c>
      <c r="O211" s="14" t="str">
        <f t="shared" si="4"/>
        <v/>
      </c>
      <c r="P211" s="14"/>
      <c r="Q211" s="14"/>
    </row>
    <row r="212" ht="15.75" customHeight="1">
      <c r="A212" s="14" t="str">
        <f t="shared" si="1"/>
        <v/>
      </c>
      <c r="B212" s="14"/>
      <c r="C212" s="14"/>
      <c r="D212" s="14"/>
      <c r="E212" s="14"/>
      <c r="F212" s="14"/>
      <c r="G212" s="14"/>
      <c r="H212" s="19"/>
      <c r="I212" s="19"/>
      <c r="J212" s="19"/>
      <c r="K212" s="19" t="str">
        <f>IF(B212="","",SUMIF('Stock IN'!$C$3:$C$302,B212,'Stock IN'!$F$3:$F$302))</f>
        <v/>
      </c>
      <c r="L212" s="19" t="str">
        <f>IF(B212="","",SUMIF('Stock OUT (Issue)'!$D$3:$D$302,B212,'Stock OUT (Issue)'!$G$3:$G$302))</f>
        <v/>
      </c>
      <c r="M212" s="19" t="str">
        <f t="shared" si="2"/>
        <v/>
      </c>
      <c r="N212" s="20" t="str">
        <f t="shared" si="3"/>
        <v/>
      </c>
      <c r="O212" s="14" t="str">
        <f t="shared" si="4"/>
        <v/>
      </c>
      <c r="P212" s="14"/>
      <c r="Q212" s="14"/>
    </row>
    <row r="213" ht="15.75" customHeight="1">
      <c r="A213" s="14" t="str">
        <f t="shared" si="1"/>
        <v/>
      </c>
      <c r="B213" s="14"/>
      <c r="C213" s="14"/>
      <c r="D213" s="14"/>
      <c r="E213" s="14"/>
      <c r="F213" s="14"/>
      <c r="G213" s="14"/>
      <c r="H213" s="19"/>
      <c r="I213" s="19"/>
      <c r="J213" s="19"/>
      <c r="K213" s="19" t="str">
        <f>IF(B213="","",SUMIF('Stock IN'!$C$3:$C$302,B213,'Stock IN'!$F$3:$F$302))</f>
        <v/>
      </c>
      <c r="L213" s="19" t="str">
        <f>IF(B213="","",SUMIF('Stock OUT (Issue)'!$D$3:$D$302,B213,'Stock OUT (Issue)'!$G$3:$G$302))</f>
        <v/>
      </c>
      <c r="M213" s="19" t="str">
        <f t="shared" si="2"/>
        <v/>
      </c>
      <c r="N213" s="20" t="str">
        <f t="shared" si="3"/>
        <v/>
      </c>
      <c r="O213" s="14" t="str">
        <f t="shared" si="4"/>
        <v/>
      </c>
      <c r="P213" s="14"/>
      <c r="Q213" s="14"/>
    </row>
    <row r="214" ht="15.75" customHeight="1">
      <c r="A214" s="14" t="str">
        <f t="shared" si="1"/>
        <v/>
      </c>
      <c r="B214" s="14"/>
      <c r="C214" s="14"/>
      <c r="D214" s="14"/>
      <c r="E214" s="14"/>
      <c r="F214" s="14"/>
      <c r="G214" s="14"/>
      <c r="H214" s="19"/>
      <c r="I214" s="19"/>
      <c r="J214" s="19"/>
      <c r="K214" s="19" t="str">
        <f>IF(B214="","",SUMIF('Stock IN'!$C$3:$C$302,B214,'Stock IN'!$F$3:$F$302))</f>
        <v/>
      </c>
      <c r="L214" s="19" t="str">
        <f>IF(B214="","",SUMIF('Stock OUT (Issue)'!$D$3:$D$302,B214,'Stock OUT (Issue)'!$G$3:$G$302))</f>
        <v/>
      </c>
      <c r="M214" s="19" t="str">
        <f t="shared" si="2"/>
        <v/>
      </c>
      <c r="N214" s="20" t="str">
        <f t="shared" si="3"/>
        <v/>
      </c>
      <c r="O214" s="14" t="str">
        <f t="shared" si="4"/>
        <v/>
      </c>
      <c r="P214" s="14"/>
      <c r="Q214" s="14"/>
    </row>
    <row r="215" ht="15.75" customHeight="1">
      <c r="A215" s="14" t="str">
        <f t="shared" si="1"/>
        <v/>
      </c>
      <c r="B215" s="14"/>
      <c r="C215" s="14"/>
      <c r="D215" s="14"/>
      <c r="E215" s="14"/>
      <c r="F215" s="14"/>
      <c r="G215" s="14"/>
      <c r="H215" s="19"/>
      <c r="I215" s="19"/>
      <c r="J215" s="19"/>
      <c r="K215" s="19" t="str">
        <f>IF(B215="","",SUMIF('Stock IN'!$C$3:$C$302,B215,'Stock IN'!$F$3:$F$302))</f>
        <v/>
      </c>
      <c r="L215" s="19" t="str">
        <f>IF(B215="","",SUMIF('Stock OUT (Issue)'!$D$3:$D$302,B215,'Stock OUT (Issue)'!$G$3:$G$302))</f>
        <v/>
      </c>
      <c r="M215" s="19" t="str">
        <f t="shared" si="2"/>
        <v/>
      </c>
      <c r="N215" s="20" t="str">
        <f t="shared" si="3"/>
        <v/>
      </c>
      <c r="O215" s="14" t="str">
        <f t="shared" si="4"/>
        <v/>
      </c>
      <c r="P215" s="14"/>
      <c r="Q215" s="14"/>
    </row>
    <row r="216" ht="15.75" customHeight="1">
      <c r="A216" s="14" t="str">
        <f t="shared" si="1"/>
        <v/>
      </c>
      <c r="B216" s="14"/>
      <c r="C216" s="14"/>
      <c r="D216" s="14"/>
      <c r="E216" s="14"/>
      <c r="F216" s="14"/>
      <c r="G216" s="14"/>
      <c r="H216" s="19"/>
      <c r="I216" s="19"/>
      <c r="J216" s="19"/>
      <c r="K216" s="19" t="str">
        <f>IF(B216="","",SUMIF('Stock IN'!$C$3:$C$302,B216,'Stock IN'!$F$3:$F$302))</f>
        <v/>
      </c>
      <c r="L216" s="19" t="str">
        <f>IF(B216="","",SUMIF('Stock OUT (Issue)'!$D$3:$D$302,B216,'Stock OUT (Issue)'!$G$3:$G$302))</f>
        <v/>
      </c>
      <c r="M216" s="19" t="str">
        <f t="shared" si="2"/>
        <v/>
      </c>
      <c r="N216" s="20" t="str">
        <f t="shared" si="3"/>
        <v/>
      </c>
      <c r="O216" s="14" t="str">
        <f t="shared" si="4"/>
        <v/>
      </c>
      <c r="P216" s="14"/>
      <c r="Q216" s="14"/>
    </row>
    <row r="217" ht="15.75" customHeight="1">
      <c r="A217" s="14" t="str">
        <f t="shared" si="1"/>
        <v/>
      </c>
      <c r="B217" s="14"/>
      <c r="C217" s="14"/>
      <c r="D217" s="14"/>
      <c r="E217" s="14"/>
      <c r="F217" s="14"/>
      <c r="G217" s="14"/>
      <c r="H217" s="19"/>
      <c r="I217" s="19"/>
      <c r="J217" s="19"/>
      <c r="K217" s="19" t="str">
        <f>IF(B217="","",SUMIF('Stock IN'!$C$3:$C$302,B217,'Stock IN'!$F$3:$F$302))</f>
        <v/>
      </c>
      <c r="L217" s="19" t="str">
        <f>IF(B217="","",SUMIF('Stock OUT (Issue)'!$D$3:$D$302,B217,'Stock OUT (Issue)'!$G$3:$G$302))</f>
        <v/>
      </c>
      <c r="M217" s="19" t="str">
        <f t="shared" si="2"/>
        <v/>
      </c>
      <c r="N217" s="20" t="str">
        <f t="shared" si="3"/>
        <v/>
      </c>
      <c r="O217" s="14" t="str">
        <f t="shared" si="4"/>
        <v/>
      </c>
      <c r="P217" s="14"/>
      <c r="Q217" s="14"/>
    </row>
    <row r="218" ht="15.75" customHeight="1">
      <c r="A218" s="14" t="str">
        <f t="shared" si="1"/>
        <v/>
      </c>
      <c r="B218" s="14"/>
      <c r="C218" s="14"/>
      <c r="D218" s="14"/>
      <c r="E218" s="14"/>
      <c r="F218" s="14"/>
      <c r="G218" s="14"/>
      <c r="H218" s="19"/>
      <c r="I218" s="19"/>
      <c r="J218" s="19"/>
      <c r="K218" s="19" t="str">
        <f>IF(B218="","",SUMIF('Stock IN'!$C$3:$C$302,B218,'Stock IN'!$F$3:$F$302))</f>
        <v/>
      </c>
      <c r="L218" s="19" t="str">
        <f>IF(B218="","",SUMIF('Stock OUT (Issue)'!$D$3:$D$302,B218,'Stock OUT (Issue)'!$G$3:$G$302))</f>
        <v/>
      </c>
      <c r="M218" s="19" t="str">
        <f t="shared" si="2"/>
        <v/>
      </c>
      <c r="N218" s="20" t="str">
        <f t="shared" si="3"/>
        <v/>
      </c>
      <c r="O218" s="14" t="str">
        <f t="shared" si="4"/>
        <v/>
      </c>
      <c r="P218" s="14"/>
      <c r="Q218" s="14"/>
    </row>
    <row r="219" ht="15.75" customHeight="1">
      <c r="A219" s="14" t="str">
        <f t="shared" si="1"/>
        <v/>
      </c>
      <c r="B219" s="14"/>
      <c r="C219" s="14"/>
      <c r="D219" s="14"/>
      <c r="E219" s="14"/>
      <c r="F219" s="14"/>
      <c r="G219" s="14"/>
      <c r="H219" s="19"/>
      <c r="I219" s="19"/>
      <c r="J219" s="19"/>
      <c r="K219" s="19" t="str">
        <f>IF(B219="","",SUMIF('Stock IN'!$C$3:$C$302,B219,'Stock IN'!$F$3:$F$302))</f>
        <v/>
      </c>
      <c r="L219" s="19" t="str">
        <f>IF(B219="","",SUMIF('Stock OUT (Issue)'!$D$3:$D$302,B219,'Stock OUT (Issue)'!$G$3:$G$302))</f>
        <v/>
      </c>
      <c r="M219" s="19" t="str">
        <f t="shared" si="2"/>
        <v/>
      </c>
      <c r="N219" s="20" t="str">
        <f t="shared" si="3"/>
        <v/>
      </c>
      <c r="O219" s="14" t="str">
        <f t="shared" si="4"/>
        <v/>
      </c>
      <c r="P219" s="14"/>
      <c r="Q219" s="14"/>
    </row>
    <row r="220" ht="15.75" customHeight="1">
      <c r="A220" s="14" t="str">
        <f t="shared" si="1"/>
        <v/>
      </c>
      <c r="B220" s="14"/>
      <c r="C220" s="14"/>
      <c r="D220" s="14"/>
      <c r="E220" s="14"/>
      <c r="F220" s="14"/>
      <c r="G220" s="14"/>
      <c r="H220" s="19"/>
      <c r="I220" s="19"/>
      <c r="J220" s="19"/>
      <c r="K220" s="19" t="str">
        <f>IF(B220="","",SUMIF('Stock IN'!$C$3:$C$302,B220,'Stock IN'!$F$3:$F$302))</f>
        <v/>
      </c>
      <c r="L220" s="19" t="str">
        <f>IF(B220="","",SUMIF('Stock OUT (Issue)'!$D$3:$D$302,B220,'Stock OUT (Issue)'!$G$3:$G$302))</f>
        <v/>
      </c>
      <c r="M220" s="19" t="str">
        <f t="shared" si="2"/>
        <v/>
      </c>
      <c r="N220" s="20" t="str">
        <f t="shared" si="3"/>
        <v/>
      </c>
      <c r="O220" s="14" t="str">
        <f t="shared" si="4"/>
        <v/>
      </c>
      <c r="P220" s="14"/>
      <c r="Q220" s="14"/>
    </row>
    <row r="221" ht="15.75" customHeight="1">
      <c r="A221" s="14" t="str">
        <f t="shared" si="1"/>
        <v/>
      </c>
      <c r="B221" s="14"/>
      <c r="C221" s="14"/>
      <c r="D221" s="14"/>
      <c r="E221" s="14"/>
      <c r="F221" s="14"/>
      <c r="G221" s="14"/>
      <c r="H221" s="19"/>
      <c r="I221" s="19"/>
      <c r="J221" s="19"/>
      <c r="K221" s="19" t="str">
        <f>IF(B221="","",SUMIF('Stock IN'!$C$3:$C$302,B221,'Stock IN'!$F$3:$F$302))</f>
        <v/>
      </c>
      <c r="L221" s="19" t="str">
        <f>IF(B221="","",SUMIF('Stock OUT (Issue)'!$D$3:$D$302,B221,'Stock OUT (Issue)'!$G$3:$G$302))</f>
        <v/>
      </c>
      <c r="M221" s="19" t="str">
        <f t="shared" si="2"/>
        <v/>
      </c>
      <c r="N221" s="20" t="str">
        <f t="shared" si="3"/>
        <v/>
      </c>
      <c r="O221" s="14" t="str">
        <f t="shared" si="4"/>
        <v/>
      </c>
      <c r="P221" s="14"/>
      <c r="Q221" s="14"/>
    </row>
    <row r="222" ht="15.75" customHeight="1">
      <c r="A222" s="14" t="str">
        <f t="shared" si="1"/>
        <v/>
      </c>
      <c r="B222" s="14"/>
      <c r="C222" s="14"/>
      <c r="D222" s="14"/>
      <c r="E222" s="14"/>
      <c r="F222" s="14"/>
      <c r="G222" s="14"/>
      <c r="H222" s="19"/>
      <c r="I222" s="19"/>
      <c r="J222" s="19"/>
      <c r="K222" s="19" t="str">
        <f>IF(B222="","",SUMIF('Stock IN'!$C$3:$C$302,B222,'Stock IN'!$F$3:$F$302))</f>
        <v/>
      </c>
      <c r="L222" s="19" t="str">
        <f>IF(B222="","",SUMIF('Stock OUT (Issue)'!$D$3:$D$302,B222,'Stock OUT (Issue)'!$G$3:$G$302))</f>
        <v/>
      </c>
      <c r="M222" s="19" t="str">
        <f t="shared" si="2"/>
        <v/>
      </c>
      <c r="N222" s="20" t="str">
        <f t="shared" si="3"/>
        <v/>
      </c>
      <c r="O222" s="14" t="str">
        <f t="shared" si="4"/>
        <v/>
      </c>
      <c r="P222" s="14"/>
      <c r="Q222" s="14"/>
    </row>
    <row r="223" ht="15.75" customHeight="1">
      <c r="A223" s="14" t="str">
        <f t="shared" si="1"/>
        <v/>
      </c>
      <c r="B223" s="14"/>
      <c r="C223" s="14"/>
      <c r="D223" s="14"/>
      <c r="E223" s="14"/>
      <c r="F223" s="14"/>
      <c r="G223" s="14"/>
      <c r="H223" s="19"/>
      <c r="I223" s="19"/>
      <c r="J223" s="19"/>
      <c r="K223" s="19" t="str">
        <f>IF(B223="","",SUMIF('Stock IN'!$C$3:$C$302,B223,'Stock IN'!$F$3:$F$302))</f>
        <v/>
      </c>
      <c r="L223" s="19" t="str">
        <f>IF(B223="","",SUMIF('Stock OUT (Issue)'!$D$3:$D$302,B223,'Stock OUT (Issue)'!$G$3:$G$302))</f>
        <v/>
      </c>
      <c r="M223" s="19" t="str">
        <f t="shared" si="2"/>
        <v/>
      </c>
      <c r="N223" s="20" t="str">
        <f t="shared" si="3"/>
        <v/>
      </c>
      <c r="O223" s="14" t="str">
        <f t="shared" si="4"/>
        <v/>
      </c>
      <c r="P223" s="14"/>
      <c r="Q223" s="14"/>
    </row>
    <row r="224" ht="15.75" customHeight="1">
      <c r="A224" s="14" t="str">
        <f t="shared" si="1"/>
        <v/>
      </c>
      <c r="B224" s="14"/>
      <c r="C224" s="14"/>
      <c r="D224" s="14"/>
      <c r="E224" s="14"/>
      <c r="F224" s="14"/>
      <c r="G224" s="14"/>
      <c r="H224" s="19"/>
      <c r="I224" s="19"/>
      <c r="J224" s="19"/>
      <c r="K224" s="19" t="str">
        <f>IF(B224="","",SUMIF('Stock IN'!$C$3:$C$302,B224,'Stock IN'!$F$3:$F$302))</f>
        <v/>
      </c>
      <c r="L224" s="19" t="str">
        <f>IF(B224="","",SUMIF('Stock OUT (Issue)'!$D$3:$D$302,B224,'Stock OUT (Issue)'!$G$3:$G$302))</f>
        <v/>
      </c>
      <c r="M224" s="19" t="str">
        <f t="shared" si="2"/>
        <v/>
      </c>
      <c r="N224" s="20" t="str">
        <f t="shared" si="3"/>
        <v/>
      </c>
      <c r="O224" s="14" t="str">
        <f t="shared" si="4"/>
        <v/>
      </c>
      <c r="P224" s="14"/>
      <c r="Q224" s="14"/>
    </row>
    <row r="225" ht="15.75" customHeight="1">
      <c r="A225" s="14" t="str">
        <f t="shared" si="1"/>
        <v/>
      </c>
      <c r="B225" s="14"/>
      <c r="C225" s="14"/>
      <c r="D225" s="14"/>
      <c r="E225" s="14"/>
      <c r="F225" s="14"/>
      <c r="G225" s="14"/>
      <c r="H225" s="19"/>
      <c r="I225" s="19"/>
      <c r="J225" s="19"/>
      <c r="K225" s="19" t="str">
        <f>IF(B225="","",SUMIF('Stock IN'!$C$3:$C$302,B225,'Stock IN'!$F$3:$F$302))</f>
        <v/>
      </c>
      <c r="L225" s="19" t="str">
        <f>IF(B225="","",SUMIF('Stock OUT (Issue)'!$D$3:$D$302,B225,'Stock OUT (Issue)'!$G$3:$G$302))</f>
        <v/>
      </c>
      <c r="M225" s="19" t="str">
        <f t="shared" si="2"/>
        <v/>
      </c>
      <c r="N225" s="20" t="str">
        <f t="shared" si="3"/>
        <v/>
      </c>
      <c r="O225" s="14" t="str">
        <f t="shared" si="4"/>
        <v/>
      </c>
      <c r="P225" s="14"/>
      <c r="Q225" s="14"/>
    </row>
    <row r="226" ht="15.75" customHeight="1">
      <c r="A226" s="14" t="str">
        <f t="shared" si="1"/>
        <v/>
      </c>
      <c r="B226" s="14"/>
      <c r="C226" s="14"/>
      <c r="D226" s="14"/>
      <c r="E226" s="14"/>
      <c r="F226" s="14"/>
      <c r="G226" s="14"/>
      <c r="H226" s="19"/>
      <c r="I226" s="19"/>
      <c r="J226" s="19"/>
      <c r="K226" s="19" t="str">
        <f>IF(B226="","",SUMIF('Stock IN'!$C$3:$C$302,B226,'Stock IN'!$F$3:$F$302))</f>
        <v/>
      </c>
      <c r="L226" s="19" t="str">
        <f>IF(B226="","",SUMIF('Stock OUT (Issue)'!$D$3:$D$302,B226,'Stock OUT (Issue)'!$G$3:$G$302))</f>
        <v/>
      </c>
      <c r="M226" s="19" t="str">
        <f t="shared" si="2"/>
        <v/>
      </c>
      <c r="N226" s="20" t="str">
        <f t="shared" si="3"/>
        <v/>
      </c>
      <c r="O226" s="14" t="str">
        <f t="shared" si="4"/>
        <v/>
      </c>
      <c r="P226" s="14"/>
      <c r="Q226" s="14"/>
    </row>
    <row r="227" ht="15.75" customHeight="1">
      <c r="A227" s="14" t="str">
        <f t="shared" si="1"/>
        <v/>
      </c>
      <c r="B227" s="14"/>
      <c r="C227" s="14"/>
      <c r="D227" s="14"/>
      <c r="E227" s="14"/>
      <c r="F227" s="14"/>
      <c r="G227" s="14"/>
      <c r="H227" s="19"/>
      <c r="I227" s="19"/>
      <c r="J227" s="19"/>
      <c r="K227" s="19" t="str">
        <f>IF(B227="","",SUMIF('Stock IN'!$C$3:$C$302,B227,'Stock IN'!$F$3:$F$302))</f>
        <v/>
      </c>
      <c r="L227" s="19" t="str">
        <f>IF(B227="","",SUMIF('Stock OUT (Issue)'!$D$3:$D$302,B227,'Stock OUT (Issue)'!$G$3:$G$302))</f>
        <v/>
      </c>
      <c r="M227" s="19" t="str">
        <f t="shared" si="2"/>
        <v/>
      </c>
      <c r="N227" s="20" t="str">
        <f t="shared" si="3"/>
        <v/>
      </c>
      <c r="O227" s="14" t="str">
        <f t="shared" si="4"/>
        <v/>
      </c>
      <c r="P227" s="14"/>
      <c r="Q227" s="14"/>
    </row>
    <row r="228" ht="15.75" customHeight="1">
      <c r="A228" s="14" t="str">
        <f t="shared" si="1"/>
        <v/>
      </c>
      <c r="B228" s="14"/>
      <c r="C228" s="14"/>
      <c r="D228" s="14"/>
      <c r="E228" s="14"/>
      <c r="F228" s="14"/>
      <c r="G228" s="14"/>
      <c r="H228" s="19"/>
      <c r="I228" s="19"/>
      <c r="J228" s="19"/>
      <c r="K228" s="19" t="str">
        <f>IF(B228="","",SUMIF('Stock IN'!$C$3:$C$302,B228,'Stock IN'!$F$3:$F$302))</f>
        <v/>
      </c>
      <c r="L228" s="19" t="str">
        <f>IF(B228="","",SUMIF('Stock OUT (Issue)'!$D$3:$D$302,B228,'Stock OUT (Issue)'!$G$3:$G$302))</f>
        <v/>
      </c>
      <c r="M228" s="19" t="str">
        <f t="shared" si="2"/>
        <v/>
      </c>
      <c r="N228" s="20" t="str">
        <f t="shared" si="3"/>
        <v/>
      </c>
      <c r="O228" s="14" t="str">
        <f t="shared" si="4"/>
        <v/>
      </c>
      <c r="P228" s="14"/>
      <c r="Q228" s="14"/>
    </row>
    <row r="229" ht="15.75" customHeight="1">
      <c r="A229" s="14" t="str">
        <f t="shared" si="1"/>
        <v/>
      </c>
      <c r="B229" s="14"/>
      <c r="C229" s="14"/>
      <c r="D229" s="14"/>
      <c r="E229" s="14"/>
      <c r="F229" s="14"/>
      <c r="G229" s="14"/>
      <c r="H229" s="19"/>
      <c r="I229" s="19"/>
      <c r="J229" s="19"/>
      <c r="K229" s="19" t="str">
        <f>IF(B229="","",SUMIF('Stock IN'!$C$3:$C$302,B229,'Stock IN'!$F$3:$F$302))</f>
        <v/>
      </c>
      <c r="L229" s="19" t="str">
        <f>IF(B229="","",SUMIF('Stock OUT (Issue)'!$D$3:$D$302,B229,'Stock OUT (Issue)'!$G$3:$G$302))</f>
        <v/>
      </c>
      <c r="M229" s="19" t="str">
        <f t="shared" si="2"/>
        <v/>
      </c>
      <c r="N229" s="20" t="str">
        <f t="shared" si="3"/>
        <v/>
      </c>
      <c r="O229" s="14" t="str">
        <f t="shared" si="4"/>
        <v/>
      </c>
      <c r="P229" s="14"/>
      <c r="Q229" s="14"/>
    </row>
    <row r="230" ht="15.75" customHeight="1">
      <c r="A230" s="14" t="str">
        <f t="shared" si="1"/>
        <v/>
      </c>
      <c r="B230" s="14"/>
      <c r="C230" s="14"/>
      <c r="D230" s="14"/>
      <c r="E230" s="14"/>
      <c r="F230" s="14"/>
      <c r="G230" s="14"/>
      <c r="H230" s="19"/>
      <c r="I230" s="19"/>
      <c r="J230" s="19"/>
      <c r="K230" s="19" t="str">
        <f>IF(B230="","",SUMIF('Stock IN'!$C$3:$C$302,B230,'Stock IN'!$F$3:$F$302))</f>
        <v/>
      </c>
      <c r="L230" s="19" t="str">
        <f>IF(B230="","",SUMIF('Stock OUT (Issue)'!$D$3:$D$302,B230,'Stock OUT (Issue)'!$G$3:$G$302))</f>
        <v/>
      </c>
      <c r="M230" s="19" t="str">
        <f t="shared" si="2"/>
        <v/>
      </c>
      <c r="N230" s="20" t="str">
        <f t="shared" si="3"/>
        <v/>
      </c>
      <c r="O230" s="14" t="str">
        <f t="shared" si="4"/>
        <v/>
      </c>
      <c r="P230" s="14"/>
      <c r="Q230" s="14"/>
    </row>
    <row r="231" ht="15.75" customHeight="1">
      <c r="A231" s="14" t="str">
        <f t="shared" si="1"/>
        <v/>
      </c>
      <c r="B231" s="14"/>
      <c r="C231" s="14"/>
      <c r="D231" s="14"/>
      <c r="E231" s="14"/>
      <c r="F231" s="14"/>
      <c r="G231" s="14"/>
      <c r="H231" s="19"/>
      <c r="I231" s="19"/>
      <c r="J231" s="19"/>
      <c r="K231" s="19" t="str">
        <f>IF(B231="","",SUMIF('Stock IN'!$C$3:$C$302,B231,'Stock IN'!$F$3:$F$302))</f>
        <v/>
      </c>
      <c r="L231" s="19" t="str">
        <f>IF(B231="","",SUMIF('Stock OUT (Issue)'!$D$3:$D$302,B231,'Stock OUT (Issue)'!$G$3:$G$302))</f>
        <v/>
      </c>
      <c r="M231" s="19" t="str">
        <f t="shared" si="2"/>
        <v/>
      </c>
      <c r="N231" s="20" t="str">
        <f t="shared" si="3"/>
        <v/>
      </c>
      <c r="O231" s="14" t="str">
        <f t="shared" si="4"/>
        <v/>
      </c>
      <c r="P231" s="14"/>
      <c r="Q231" s="14"/>
    </row>
    <row r="232" ht="15.75" customHeight="1">
      <c r="A232" s="14" t="str">
        <f t="shared" si="1"/>
        <v/>
      </c>
      <c r="B232" s="14"/>
      <c r="C232" s="14"/>
      <c r="D232" s="14"/>
      <c r="E232" s="14"/>
      <c r="F232" s="14"/>
      <c r="G232" s="14"/>
      <c r="H232" s="19"/>
      <c r="I232" s="19"/>
      <c r="J232" s="19"/>
      <c r="K232" s="19" t="str">
        <f>IF(B232="","",SUMIF('Stock IN'!$C$3:$C$302,B232,'Stock IN'!$F$3:$F$302))</f>
        <v/>
      </c>
      <c r="L232" s="19" t="str">
        <f>IF(B232="","",SUMIF('Stock OUT (Issue)'!$D$3:$D$302,B232,'Stock OUT (Issue)'!$G$3:$G$302))</f>
        <v/>
      </c>
      <c r="M232" s="19" t="str">
        <f t="shared" si="2"/>
        <v/>
      </c>
      <c r="N232" s="20" t="str">
        <f t="shared" si="3"/>
        <v/>
      </c>
      <c r="O232" s="14" t="str">
        <f t="shared" si="4"/>
        <v/>
      </c>
      <c r="P232" s="14"/>
      <c r="Q232" s="14"/>
    </row>
    <row r="233" ht="15.75" customHeight="1">
      <c r="A233" s="14" t="str">
        <f t="shared" si="1"/>
        <v/>
      </c>
      <c r="B233" s="14"/>
      <c r="C233" s="14"/>
      <c r="D233" s="14"/>
      <c r="E233" s="14"/>
      <c r="F233" s="14"/>
      <c r="G233" s="14"/>
      <c r="H233" s="19"/>
      <c r="I233" s="19"/>
      <c r="J233" s="19"/>
      <c r="K233" s="19" t="str">
        <f>IF(B233="","",SUMIF('Stock IN'!$C$3:$C$302,B233,'Stock IN'!$F$3:$F$302))</f>
        <v/>
      </c>
      <c r="L233" s="19" t="str">
        <f>IF(B233="","",SUMIF('Stock OUT (Issue)'!$D$3:$D$302,B233,'Stock OUT (Issue)'!$G$3:$G$302))</f>
        <v/>
      </c>
      <c r="M233" s="19" t="str">
        <f t="shared" si="2"/>
        <v/>
      </c>
      <c r="N233" s="20" t="str">
        <f t="shared" si="3"/>
        <v/>
      </c>
      <c r="O233" s="14" t="str">
        <f t="shared" si="4"/>
        <v/>
      </c>
      <c r="P233" s="14"/>
      <c r="Q233" s="14"/>
    </row>
    <row r="234" ht="15.75" customHeight="1">
      <c r="A234" s="14" t="str">
        <f t="shared" si="1"/>
        <v/>
      </c>
      <c r="B234" s="14"/>
      <c r="C234" s="14"/>
      <c r="D234" s="14"/>
      <c r="E234" s="14"/>
      <c r="F234" s="14"/>
      <c r="G234" s="14"/>
      <c r="H234" s="19"/>
      <c r="I234" s="19"/>
      <c r="J234" s="19"/>
      <c r="K234" s="19" t="str">
        <f>IF(B234="","",SUMIF('Stock IN'!$C$3:$C$302,B234,'Stock IN'!$F$3:$F$302))</f>
        <v/>
      </c>
      <c r="L234" s="19" t="str">
        <f>IF(B234="","",SUMIF('Stock OUT (Issue)'!$D$3:$D$302,B234,'Stock OUT (Issue)'!$G$3:$G$302))</f>
        <v/>
      </c>
      <c r="M234" s="19" t="str">
        <f t="shared" si="2"/>
        <v/>
      </c>
      <c r="N234" s="20" t="str">
        <f t="shared" si="3"/>
        <v/>
      </c>
      <c r="O234" s="14" t="str">
        <f t="shared" si="4"/>
        <v/>
      </c>
      <c r="P234" s="14"/>
      <c r="Q234" s="14"/>
    </row>
    <row r="235" ht="15.75" customHeight="1">
      <c r="A235" s="14" t="str">
        <f t="shared" si="1"/>
        <v/>
      </c>
      <c r="B235" s="14"/>
      <c r="C235" s="14"/>
      <c r="D235" s="14"/>
      <c r="E235" s="14"/>
      <c r="F235" s="14"/>
      <c r="G235" s="14"/>
      <c r="H235" s="19"/>
      <c r="I235" s="19"/>
      <c r="J235" s="19"/>
      <c r="K235" s="19" t="str">
        <f>IF(B235="","",SUMIF('Stock IN'!$C$3:$C$302,B235,'Stock IN'!$F$3:$F$302))</f>
        <v/>
      </c>
      <c r="L235" s="19" t="str">
        <f>IF(B235="","",SUMIF('Stock OUT (Issue)'!$D$3:$D$302,B235,'Stock OUT (Issue)'!$G$3:$G$302))</f>
        <v/>
      </c>
      <c r="M235" s="19" t="str">
        <f t="shared" si="2"/>
        <v/>
      </c>
      <c r="N235" s="20" t="str">
        <f t="shared" si="3"/>
        <v/>
      </c>
      <c r="O235" s="14" t="str">
        <f t="shared" si="4"/>
        <v/>
      </c>
      <c r="P235" s="14"/>
      <c r="Q235" s="14"/>
    </row>
    <row r="236" ht="15.75" customHeight="1">
      <c r="A236" s="14" t="str">
        <f t="shared" si="1"/>
        <v/>
      </c>
      <c r="B236" s="14"/>
      <c r="C236" s="14"/>
      <c r="D236" s="14"/>
      <c r="E236" s="14"/>
      <c r="F236" s="14"/>
      <c r="G236" s="14"/>
      <c r="H236" s="19"/>
      <c r="I236" s="19"/>
      <c r="J236" s="19"/>
      <c r="K236" s="19" t="str">
        <f>IF(B236="","",SUMIF('Stock IN'!$C$3:$C$302,B236,'Stock IN'!$F$3:$F$302))</f>
        <v/>
      </c>
      <c r="L236" s="19" t="str">
        <f>IF(B236="","",SUMIF('Stock OUT (Issue)'!$D$3:$D$302,B236,'Stock OUT (Issue)'!$G$3:$G$302))</f>
        <v/>
      </c>
      <c r="M236" s="19" t="str">
        <f t="shared" si="2"/>
        <v/>
      </c>
      <c r="N236" s="20" t="str">
        <f t="shared" si="3"/>
        <v/>
      </c>
      <c r="O236" s="14" t="str">
        <f t="shared" si="4"/>
        <v/>
      </c>
      <c r="P236" s="14"/>
      <c r="Q236" s="14"/>
    </row>
    <row r="237" ht="15.75" customHeight="1">
      <c r="A237" s="14" t="str">
        <f t="shared" si="1"/>
        <v/>
      </c>
      <c r="B237" s="14"/>
      <c r="C237" s="14"/>
      <c r="D237" s="14"/>
      <c r="E237" s="14"/>
      <c r="F237" s="14"/>
      <c r="G237" s="14"/>
      <c r="H237" s="19"/>
      <c r="I237" s="19"/>
      <c r="J237" s="19"/>
      <c r="K237" s="19" t="str">
        <f>IF(B237="","",SUMIF('Stock IN'!$C$3:$C$302,B237,'Stock IN'!$F$3:$F$302))</f>
        <v/>
      </c>
      <c r="L237" s="19" t="str">
        <f>IF(B237="","",SUMIF('Stock OUT (Issue)'!$D$3:$D$302,B237,'Stock OUT (Issue)'!$G$3:$G$302))</f>
        <v/>
      </c>
      <c r="M237" s="19" t="str">
        <f t="shared" si="2"/>
        <v/>
      </c>
      <c r="N237" s="20" t="str">
        <f t="shared" si="3"/>
        <v/>
      </c>
      <c r="O237" s="14" t="str">
        <f t="shared" si="4"/>
        <v/>
      </c>
      <c r="P237" s="14"/>
      <c r="Q237" s="14"/>
    </row>
    <row r="238" ht="15.75" customHeight="1">
      <c r="A238" s="14" t="str">
        <f t="shared" si="1"/>
        <v/>
      </c>
      <c r="B238" s="14"/>
      <c r="C238" s="14"/>
      <c r="D238" s="14"/>
      <c r="E238" s="14"/>
      <c r="F238" s="14"/>
      <c r="G238" s="14"/>
      <c r="H238" s="19"/>
      <c r="I238" s="19"/>
      <c r="J238" s="19"/>
      <c r="K238" s="19" t="str">
        <f>IF(B238="","",SUMIF('Stock IN'!$C$3:$C$302,B238,'Stock IN'!$F$3:$F$302))</f>
        <v/>
      </c>
      <c r="L238" s="19" t="str">
        <f>IF(B238="","",SUMIF('Stock OUT (Issue)'!$D$3:$D$302,B238,'Stock OUT (Issue)'!$G$3:$G$302))</f>
        <v/>
      </c>
      <c r="M238" s="19" t="str">
        <f t="shared" si="2"/>
        <v/>
      </c>
      <c r="N238" s="20" t="str">
        <f t="shared" si="3"/>
        <v/>
      </c>
      <c r="O238" s="14" t="str">
        <f t="shared" si="4"/>
        <v/>
      </c>
      <c r="P238" s="14"/>
      <c r="Q238" s="14"/>
    </row>
    <row r="239" ht="15.75" customHeight="1">
      <c r="A239" s="14" t="str">
        <f t="shared" si="1"/>
        <v/>
      </c>
      <c r="B239" s="14"/>
      <c r="C239" s="14"/>
      <c r="D239" s="14"/>
      <c r="E239" s="14"/>
      <c r="F239" s="14"/>
      <c r="G239" s="14"/>
      <c r="H239" s="19"/>
      <c r="I239" s="19"/>
      <c r="J239" s="19"/>
      <c r="K239" s="19" t="str">
        <f>IF(B239="","",SUMIF('Stock IN'!$C$3:$C$302,B239,'Stock IN'!$F$3:$F$302))</f>
        <v/>
      </c>
      <c r="L239" s="19" t="str">
        <f>IF(B239="","",SUMIF('Stock OUT (Issue)'!$D$3:$D$302,B239,'Stock OUT (Issue)'!$G$3:$G$302))</f>
        <v/>
      </c>
      <c r="M239" s="19" t="str">
        <f t="shared" si="2"/>
        <v/>
      </c>
      <c r="N239" s="20" t="str">
        <f t="shared" si="3"/>
        <v/>
      </c>
      <c r="O239" s="14" t="str">
        <f t="shared" si="4"/>
        <v/>
      </c>
      <c r="P239" s="14"/>
      <c r="Q239" s="14"/>
    </row>
    <row r="240" ht="15.75" customHeight="1">
      <c r="A240" s="14" t="str">
        <f t="shared" si="1"/>
        <v/>
      </c>
      <c r="B240" s="14"/>
      <c r="C240" s="14"/>
      <c r="D240" s="14"/>
      <c r="E240" s="14"/>
      <c r="F240" s="14"/>
      <c r="G240" s="14"/>
      <c r="H240" s="19"/>
      <c r="I240" s="19"/>
      <c r="J240" s="19"/>
      <c r="K240" s="19" t="str">
        <f>IF(B240="","",SUMIF('Stock IN'!$C$3:$C$302,B240,'Stock IN'!$F$3:$F$302))</f>
        <v/>
      </c>
      <c r="L240" s="19" t="str">
        <f>IF(B240="","",SUMIF('Stock OUT (Issue)'!$D$3:$D$302,B240,'Stock OUT (Issue)'!$G$3:$G$302))</f>
        <v/>
      </c>
      <c r="M240" s="19" t="str">
        <f t="shared" si="2"/>
        <v/>
      </c>
      <c r="N240" s="20" t="str">
        <f t="shared" si="3"/>
        <v/>
      </c>
      <c r="O240" s="14" t="str">
        <f t="shared" si="4"/>
        <v/>
      </c>
      <c r="P240" s="14"/>
      <c r="Q240" s="14"/>
    </row>
    <row r="241" ht="15.75" customHeight="1">
      <c r="A241" s="14" t="str">
        <f t="shared" si="1"/>
        <v/>
      </c>
      <c r="B241" s="14"/>
      <c r="C241" s="14"/>
      <c r="D241" s="14"/>
      <c r="E241" s="14"/>
      <c r="F241" s="14"/>
      <c r="G241" s="14"/>
      <c r="H241" s="19"/>
      <c r="I241" s="19"/>
      <c r="J241" s="19"/>
      <c r="K241" s="19" t="str">
        <f>IF(B241="","",SUMIF('Stock IN'!$C$3:$C$302,B241,'Stock IN'!$F$3:$F$302))</f>
        <v/>
      </c>
      <c r="L241" s="19" t="str">
        <f>IF(B241="","",SUMIF('Stock OUT (Issue)'!$D$3:$D$302,B241,'Stock OUT (Issue)'!$G$3:$G$302))</f>
        <v/>
      </c>
      <c r="M241" s="19" t="str">
        <f t="shared" si="2"/>
        <v/>
      </c>
      <c r="N241" s="20" t="str">
        <f t="shared" si="3"/>
        <v/>
      </c>
      <c r="O241" s="14" t="str">
        <f t="shared" si="4"/>
        <v/>
      </c>
      <c r="P241" s="14"/>
      <c r="Q241" s="14"/>
    </row>
    <row r="242" ht="15.75" customHeight="1">
      <c r="A242" s="14" t="str">
        <f t="shared" si="1"/>
        <v/>
      </c>
      <c r="B242" s="14"/>
      <c r="C242" s="14"/>
      <c r="D242" s="14"/>
      <c r="E242" s="14"/>
      <c r="F242" s="14"/>
      <c r="G242" s="14"/>
      <c r="H242" s="19"/>
      <c r="I242" s="19"/>
      <c r="J242" s="19"/>
      <c r="K242" s="19" t="str">
        <f>IF(B242="","",SUMIF('Stock IN'!$C$3:$C$302,B242,'Stock IN'!$F$3:$F$302))</f>
        <v/>
      </c>
      <c r="L242" s="19" t="str">
        <f>IF(B242="","",SUMIF('Stock OUT (Issue)'!$D$3:$D$302,B242,'Stock OUT (Issue)'!$G$3:$G$302))</f>
        <v/>
      </c>
      <c r="M242" s="19" t="str">
        <f t="shared" si="2"/>
        <v/>
      </c>
      <c r="N242" s="20" t="str">
        <f t="shared" si="3"/>
        <v/>
      </c>
      <c r="O242" s="14" t="str">
        <f t="shared" si="4"/>
        <v/>
      </c>
      <c r="P242" s="14"/>
      <c r="Q242" s="14"/>
    </row>
    <row r="243" ht="15.75" customHeight="1">
      <c r="A243" s="14" t="str">
        <f t="shared" si="1"/>
        <v/>
      </c>
      <c r="B243" s="14"/>
      <c r="C243" s="14"/>
      <c r="D243" s="14"/>
      <c r="E243" s="14"/>
      <c r="F243" s="14"/>
      <c r="G243" s="14"/>
      <c r="H243" s="19"/>
      <c r="I243" s="19"/>
      <c r="J243" s="19"/>
      <c r="K243" s="19" t="str">
        <f>IF(B243="","",SUMIF('Stock IN'!$C$3:$C$302,B243,'Stock IN'!$F$3:$F$302))</f>
        <v/>
      </c>
      <c r="L243" s="19" t="str">
        <f>IF(B243="","",SUMIF('Stock OUT (Issue)'!$D$3:$D$302,B243,'Stock OUT (Issue)'!$G$3:$G$302))</f>
        <v/>
      </c>
      <c r="M243" s="19" t="str">
        <f t="shared" si="2"/>
        <v/>
      </c>
      <c r="N243" s="20" t="str">
        <f t="shared" si="3"/>
        <v/>
      </c>
      <c r="O243" s="14" t="str">
        <f t="shared" si="4"/>
        <v/>
      </c>
      <c r="P243" s="14"/>
      <c r="Q243" s="14"/>
    </row>
    <row r="244" ht="15.75" customHeight="1">
      <c r="A244" s="14" t="str">
        <f t="shared" si="1"/>
        <v/>
      </c>
      <c r="B244" s="14"/>
      <c r="C244" s="14"/>
      <c r="D244" s="14"/>
      <c r="E244" s="14"/>
      <c r="F244" s="14"/>
      <c r="G244" s="14"/>
      <c r="H244" s="19"/>
      <c r="I244" s="19"/>
      <c r="J244" s="19"/>
      <c r="K244" s="19" t="str">
        <f>IF(B244="","",SUMIF('Stock IN'!$C$3:$C$302,B244,'Stock IN'!$F$3:$F$302))</f>
        <v/>
      </c>
      <c r="L244" s="19" t="str">
        <f>IF(B244="","",SUMIF('Stock OUT (Issue)'!$D$3:$D$302,B244,'Stock OUT (Issue)'!$G$3:$G$302))</f>
        <v/>
      </c>
      <c r="M244" s="19" t="str">
        <f t="shared" si="2"/>
        <v/>
      </c>
      <c r="N244" s="20" t="str">
        <f t="shared" si="3"/>
        <v/>
      </c>
      <c r="O244" s="14" t="str">
        <f t="shared" si="4"/>
        <v/>
      </c>
      <c r="P244" s="14"/>
      <c r="Q244" s="14"/>
    </row>
    <row r="245" ht="15.75" customHeight="1">
      <c r="A245" s="14" t="str">
        <f t="shared" si="1"/>
        <v/>
      </c>
      <c r="B245" s="14"/>
      <c r="C245" s="14"/>
      <c r="D245" s="14"/>
      <c r="E245" s="14"/>
      <c r="F245" s="14"/>
      <c r="G245" s="14"/>
      <c r="H245" s="19"/>
      <c r="I245" s="19"/>
      <c r="J245" s="19"/>
      <c r="K245" s="19" t="str">
        <f>IF(B245="","",SUMIF('Stock IN'!$C$3:$C$302,B245,'Stock IN'!$F$3:$F$302))</f>
        <v/>
      </c>
      <c r="L245" s="19" t="str">
        <f>IF(B245="","",SUMIF('Stock OUT (Issue)'!$D$3:$D$302,B245,'Stock OUT (Issue)'!$G$3:$G$302))</f>
        <v/>
      </c>
      <c r="M245" s="19" t="str">
        <f t="shared" si="2"/>
        <v/>
      </c>
      <c r="N245" s="20" t="str">
        <f t="shared" si="3"/>
        <v/>
      </c>
      <c r="O245" s="14" t="str">
        <f t="shared" si="4"/>
        <v/>
      </c>
      <c r="P245" s="14"/>
      <c r="Q245" s="14"/>
    </row>
    <row r="246" ht="15.75" customHeight="1">
      <c r="A246" s="14" t="str">
        <f t="shared" si="1"/>
        <v/>
      </c>
      <c r="B246" s="14"/>
      <c r="C246" s="14"/>
      <c r="D246" s="14"/>
      <c r="E246" s="14"/>
      <c r="F246" s="14"/>
      <c r="G246" s="14"/>
      <c r="H246" s="19"/>
      <c r="I246" s="19"/>
      <c r="J246" s="19"/>
      <c r="K246" s="19" t="str">
        <f>IF(B246="","",SUMIF('Stock IN'!$C$3:$C$302,B246,'Stock IN'!$F$3:$F$302))</f>
        <v/>
      </c>
      <c r="L246" s="19" t="str">
        <f>IF(B246="","",SUMIF('Stock OUT (Issue)'!$D$3:$D$302,B246,'Stock OUT (Issue)'!$G$3:$G$302))</f>
        <v/>
      </c>
      <c r="M246" s="19" t="str">
        <f t="shared" si="2"/>
        <v/>
      </c>
      <c r="N246" s="20" t="str">
        <f t="shared" si="3"/>
        <v/>
      </c>
      <c r="O246" s="14" t="str">
        <f t="shared" si="4"/>
        <v/>
      </c>
      <c r="P246" s="14"/>
      <c r="Q246" s="14"/>
    </row>
    <row r="247" ht="15.75" customHeight="1">
      <c r="A247" s="14" t="str">
        <f t="shared" si="1"/>
        <v/>
      </c>
      <c r="B247" s="14"/>
      <c r="C247" s="14"/>
      <c r="D247" s="14"/>
      <c r="E247" s="14"/>
      <c r="F247" s="14"/>
      <c r="G247" s="14"/>
      <c r="H247" s="19"/>
      <c r="I247" s="19"/>
      <c r="J247" s="19"/>
      <c r="K247" s="19" t="str">
        <f>IF(B247="","",SUMIF('Stock IN'!$C$3:$C$302,B247,'Stock IN'!$F$3:$F$302))</f>
        <v/>
      </c>
      <c r="L247" s="19" t="str">
        <f>IF(B247="","",SUMIF('Stock OUT (Issue)'!$D$3:$D$302,B247,'Stock OUT (Issue)'!$G$3:$G$302))</f>
        <v/>
      </c>
      <c r="M247" s="19" t="str">
        <f t="shared" si="2"/>
        <v/>
      </c>
      <c r="N247" s="20" t="str">
        <f t="shared" si="3"/>
        <v/>
      </c>
      <c r="O247" s="14" t="str">
        <f t="shared" si="4"/>
        <v/>
      </c>
      <c r="P247" s="14"/>
      <c r="Q247" s="14"/>
    </row>
    <row r="248" ht="15.75" customHeight="1">
      <c r="A248" s="14" t="str">
        <f t="shared" si="1"/>
        <v/>
      </c>
      <c r="B248" s="14"/>
      <c r="C248" s="14"/>
      <c r="D248" s="14"/>
      <c r="E248" s="14"/>
      <c r="F248" s="14"/>
      <c r="G248" s="14"/>
      <c r="H248" s="19"/>
      <c r="I248" s="19"/>
      <c r="J248" s="19"/>
      <c r="K248" s="19" t="str">
        <f>IF(B248="","",SUMIF('Stock IN'!$C$3:$C$302,B248,'Stock IN'!$F$3:$F$302))</f>
        <v/>
      </c>
      <c r="L248" s="19" t="str">
        <f>IF(B248="","",SUMIF('Stock OUT (Issue)'!$D$3:$D$302,B248,'Stock OUT (Issue)'!$G$3:$G$302))</f>
        <v/>
      </c>
      <c r="M248" s="19" t="str">
        <f t="shared" si="2"/>
        <v/>
      </c>
      <c r="N248" s="20" t="str">
        <f t="shared" si="3"/>
        <v/>
      </c>
      <c r="O248" s="14" t="str">
        <f t="shared" si="4"/>
        <v/>
      </c>
      <c r="P248" s="14"/>
      <c r="Q248" s="14"/>
    </row>
    <row r="249" ht="15.75" customHeight="1">
      <c r="A249" s="14" t="str">
        <f t="shared" si="1"/>
        <v/>
      </c>
      <c r="B249" s="14"/>
      <c r="C249" s="14"/>
      <c r="D249" s="14"/>
      <c r="E249" s="14"/>
      <c r="F249" s="14"/>
      <c r="G249" s="14"/>
      <c r="H249" s="19"/>
      <c r="I249" s="19"/>
      <c r="J249" s="19"/>
      <c r="K249" s="19" t="str">
        <f>IF(B249="","",SUMIF('Stock IN'!$C$3:$C$302,B249,'Stock IN'!$F$3:$F$302))</f>
        <v/>
      </c>
      <c r="L249" s="19" t="str">
        <f>IF(B249="","",SUMIF('Stock OUT (Issue)'!$D$3:$D$302,B249,'Stock OUT (Issue)'!$G$3:$G$302))</f>
        <v/>
      </c>
      <c r="M249" s="19" t="str">
        <f t="shared" si="2"/>
        <v/>
      </c>
      <c r="N249" s="20" t="str">
        <f t="shared" si="3"/>
        <v/>
      </c>
      <c r="O249" s="14" t="str">
        <f t="shared" si="4"/>
        <v/>
      </c>
      <c r="P249" s="14"/>
      <c r="Q249" s="14"/>
    </row>
    <row r="250" ht="15.75" customHeight="1">
      <c r="A250" s="14" t="str">
        <f t="shared" si="1"/>
        <v/>
      </c>
      <c r="B250" s="14"/>
      <c r="C250" s="14"/>
      <c r="D250" s="14"/>
      <c r="E250" s="14"/>
      <c r="F250" s="14"/>
      <c r="G250" s="14"/>
      <c r="H250" s="19"/>
      <c r="I250" s="19"/>
      <c r="J250" s="19"/>
      <c r="K250" s="19" t="str">
        <f>IF(B250="","",SUMIF('Stock IN'!$C$3:$C$302,B250,'Stock IN'!$F$3:$F$302))</f>
        <v/>
      </c>
      <c r="L250" s="19" t="str">
        <f>IF(B250="","",SUMIF('Stock OUT (Issue)'!$D$3:$D$302,B250,'Stock OUT (Issue)'!$G$3:$G$302))</f>
        <v/>
      </c>
      <c r="M250" s="19" t="str">
        <f t="shared" si="2"/>
        <v/>
      </c>
      <c r="N250" s="20" t="str">
        <f t="shared" si="3"/>
        <v/>
      </c>
      <c r="O250" s="14" t="str">
        <f t="shared" si="4"/>
        <v/>
      </c>
      <c r="P250" s="14"/>
      <c r="Q250" s="14"/>
    </row>
    <row r="251" ht="15.75" customHeight="1">
      <c r="A251" s="14" t="str">
        <f t="shared" si="1"/>
        <v/>
      </c>
      <c r="B251" s="14"/>
      <c r="C251" s="14"/>
      <c r="D251" s="14"/>
      <c r="E251" s="14"/>
      <c r="F251" s="14"/>
      <c r="G251" s="14"/>
      <c r="H251" s="19"/>
      <c r="I251" s="19"/>
      <c r="J251" s="19"/>
      <c r="K251" s="19" t="str">
        <f>IF(B251="","",SUMIF('Stock IN'!$C$3:$C$302,B251,'Stock IN'!$F$3:$F$302))</f>
        <v/>
      </c>
      <c r="L251" s="19" t="str">
        <f>IF(B251="","",SUMIF('Stock OUT (Issue)'!$D$3:$D$302,B251,'Stock OUT (Issue)'!$G$3:$G$302))</f>
        <v/>
      </c>
      <c r="M251" s="19" t="str">
        <f t="shared" si="2"/>
        <v/>
      </c>
      <c r="N251" s="20" t="str">
        <f t="shared" si="3"/>
        <v/>
      </c>
      <c r="O251" s="14" t="str">
        <f t="shared" si="4"/>
        <v/>
      </c>
      <c r="P251" s="14"/>
      <c r="Q251" s="14"/>
    </row>
    <row r="252" ht="15.75" customHeight="1">
      <c r="A252" s="14" t="str">
        <f t="shared" si="1"/>
        <v/>
      </c>
      <c r="B252" s="14"/>
      <c r="C252" s="14"/>
      <c r="D252" s="14"/>
      <c r="E252" s="14"/>
      <c r="F252" s="14"/>
      <c r="G252" s="14"/>
      <c r="H252" s="19"/>
      <c r="I252" s="19"/>
      <c r="J252" s="19"/>
      <c r="K252" s="19" t="str">
        <f>IF(B252="","",SUMIF('Stock IN'!$C$3:$C$302,B252,'Stock IN'!$F$3:$F$302))</f>
        <v/>
      </c>
      <c r="L252" s="19" t="str">
        <f>IF(B252="","",SUMIF('Stock OUT (Issue)'!$D$3:$D$302,B252,'Stock OUT (Issue)'!$G$3:$G$302))</f>
        <v/>
      </c>
      <c r="M252" s="19" t="str">
        <f t="shared" si="2"/>
        <v/>
      </c>
      <c r="N252" s="20" t="str">
        <f t="shared" si="3"/>
        <v/>
      </c>
      <c r="O252" s="14" t="str">
        <f t="shared" si="4"/>
        <v/>
      </c>
      <c r="P252" s="14"/>
      <c r="Q252" s="14"/>
    </row>
    <row r="253" ht="15.75" customHeight="1">
      <c r="A253" s="14" t="str">
        <f t="shared" si="1"/>
        <v/>
      </c>
      <c r="B253" s="14"/>
      <c r="C253" s="14"/>
      <c r="D253" s="14"/>
      <c r="E253" s="14"/>
      <c r="F253" s="14"/>
      <c r="G253" s="14"/>
      <c r="H253" s="19"/>
      <c r="I253" s="19"/>
      <c r="J253" s="19"/>
      <c r="K253" s="19" t="str">
        <f>IF(B253="","",SUMIF('Stock IN'!$C$3:$C$302,B253,'Stock IN'!$F$3:$F$302))</f>
        <v/>
      </c>
      <c r="L253" s="19" t="str">
        <f>IF(B253="","",SUMIF('Stock OUT (Issue)'!$D$3:$D$302,B253,'Stock OUT (Issue)'!$G$3:$G$302))</f>
        <v/>
      </c>
      <c r="M253" s="19" t="str">
        <f t="shared" si="2"/>
        <v/>
      </c>
      <c r="N253" s="20" t="str">
        <f t="shared" si="3"/>
        <v/>
      </c>
      <c r="O253" s="14" t="str">
        <f t="shared" si="4"/>
        <v/>
      </c>
      <c r="P253" s="14"/>
      <c r="Q253" s="14"/>
    </row>
    <row r="254" ht="15.75" customHeight="1">
      <c r="A254" s="14" t="str">
        <f t="shared" si="1"/>
        <v/>
      </c>
      <c r="B254" s="14"/>
      <c r="C254" s="14"/>
      <c r="D254" s="14"/>
      <c r="E254" s="14"/>
      <c r="F254" s="14"/>
      <c r="G254" s="14"/>
      <c r="H254" s="19"/>
      <c r="I254" s="19"/>
      <c r="J254" s="19"/>
      <c r="K254" s="19" t="str">
        <f>IF(B254="","",SUMIF('Stock IN'!$C$3:$C$302,B254,'Stock IN'!$F$3:$F$302))</f>
        <v/>
      </c>
      <c r="L254" s="19" t="str">
        <f>IF(B254="","",SUMIF('Stock OUT (Issue)'!$D$3:$D$302,B254,'Stock OUT (Issue)'!$G$3:$G$302))</f>
        <v/>
      </c>
      <c r="M254" s="19" t="str">
        <f t="shared" si="2"/>
        <v/>
      </c>
      <c r="N254" s="20" t="str">
        <f t="shared" si="3"/>
        <v/>
      </c>
      <c r="O254" s="14" t="str">
        <f t="shared" si="4"/>
        <v/>
      </c>
      <c r="P254" s="14"/>
      <c r="Q254" s="14"/>
    </row>
    <row r="255" ht="15.75" customHeight="1">
      <c r="A255" s="14" t="str">
        <f t="shared" si="1"/>
        <v/>
      </c>
      <c r="B255" s="14"/>
      <c r="C255" s="14"/>
      <c r="D255" s="14"/>
      <c r="E255" s="14"/>
      <c r="F255" s="14"/>
      <c r="G255" s="14"/>
      <c r="H255" s="19"/>
      <c r="I255" s="19"/>
      <c r="J255" s="19"/>
      <c r="K255" s="19" t="str">
        <f>IF(B255="","",SUMIF('Stock IN'!$C$3:$C$302,B255,'Stock IN'!$F$3:$F$302))</f>
        <v/>
      </c>
      <c r="L255" s="19" t="str">
        <f>IF(B255="","",SUMIF('Stock OUT (Issue)'!$D$3:$D$302,B255,'Stock OUT (Issue)'!$G$3:$G$302))</f>
        <v/>
      </c>
      <c r="M255" s="19" t="str">
        <f t="shared" si="2"/>
        <v/>
      </c>
      <c r="N255" s="20" t="str">
        <f t="shared" si="3"/>
        <v/>
      </c>
      <c r="O255" s="14" t="str">
        <f t="shared" si="4"/>
        <v/>
      </c>
      <c r="P255" s="14"/>
      <c r="Q255" s="14"/>
    </row>
    <row r="256" ht="15.75" customHeight="1">
      <c r="A256" s="14" t="str">
        <f t="shared" si="1"/>
        <v/>
      </c>
      <c r="B256" s="14"/>
      <c r="C256" s="14"/>
      <c r="D256" s="14"/>
      <c r="E256" s="14"/>
      <c r="F256" s="14"/>
      <c r="G256" s="14"/>
      <c r="H256" s="19"/>
      <c r="I256" s="19"/>
      <c r="J256" s="19"/>
      <c r="K256" s="19" t="str">
        <f>IF(B256="","",SUMIF('Stock IN'!$C$3:$C$302,B256,'Stock IN'!$F$3:$F$302))</f>
        <v/>
      </c>
      <c r="L256" s="19" t="str">
        <f>IF(B256="","",SUMIF('Stock OUT (Issue)'!$D$3:$D$302,B256,'Stock OUT (Issue)'!$G$3:$G$302))</f>
        <v/>
      </c>
      <c r="M256" s="19" t="str">
        <f t="shared" si="2"/>
        <v/>
      </c>
      <c r="N256" s="20" t="str">
        <f t="shared" si="3"/>
        <v/>
      </c>
      <c r="O256" s="14" t="str">
        <f t="shared" si="4"/>
        <v/>
      </c>
      <c r="P256" s="14"/>
      <c r="Q256" s="14"/>
    </row>
    <row r="257" ht="15.75" customHeight="1">
      <c r="A257" s="14" t="str">
        <f t="shared" si="1"/>
        <v/>
      </c>
      <c r="B257" s="14"/>
      <c r="C257" s="14"/>
      <c r="D257" s="14"/>
      <c r="E257" s="14"/>
      <c r="F257" s="14"/>
      <c r="G257" s="14"/>
      <c r="H257" s="19"/>
      <c r="I257" s="19"/>
      <c r="J257" s="19"/>
      <c r="K257" s="19" t="str">
        <f>IF(B257="","",SUMIF('Stock IN'!$C$3:$C$302,B257,'Stock IN'!$F$3:$F$302))</f>
        <v/>
      </c>
      <c r="L257" s="19" t="str">
        <f>IF(B257="","",SUMIF('Stock OUT (Issue)'!$D$3:$D$302,B257,'Stock OUT (Issue)'!$G$3:$G$302))</f>
        <v/>
      </c>
      <c r="M257" s="19" t="str">
        <f t="shared" si="2"/>
        <v/>
      </c>
      <c r="N257" s="20" t="str">
        <f t="shared" si="3"/>
        <v/>
      </c>
      <c r="O257" s="14" t="str">
        <f t="shared" si="4"/>
        <v/>
      </c>
      <c r="P257" s="14"/>
      <c r="Q257" s="14"/>
    </row>
    <row r="258" ht="15.75" customHeight="1">
      <c r="A258" s="14" t="str">
        <f t="shared" si="1"/>
        <v/>
      </c>
      <c r="B258" s="14"/>
      <c r="C258" s="14"/>
      <c r="D258" s="14"/>
      <c r="E258" s="14"/>
      <c r="F258" s="14"/>
      <c r="G258" s="14"/>
      <c r="H258" s="19"/>
      <c r="I258" s="19"/>
      <c r="J258" s="19"/>
      <c r="K258" s="19" t="str">
        <f>IF(B258="","",SUMIF('Stock IN'!$C$3:$C$302,B258,'Stock IN'!$F$3:$F$302))</f>
        <v/>
      </c>
      <c r="L258" s="19" t="str">
        <f>IF(B258="","",SUMIF('Stock OUT (Issue)'!$D$3:$D$302,B258,'Stock OUT (Issue)'!$G$3:$G$302))</f>
        <v/>
      </c>
      <c r="M258" s="19" t="str">
        <f t="shared" si="2"/>
        <v/>
      </c>
      <c r="N258" s="20" t="str">
        <f t="shared" si="3"/>
        <v/>
      </c>
      <c r="O258" s="14" t="str">
        <f t="shared" si="4"/>
        <v/>
      </c>
      <c r="P258" s="14"/>
      <c r="Q258" s="14"/>
    </row>
    <row r="259" ht="15.75" customHeight="1">
      <c r="A259" s="14" t="str">
        <f t="shared" si="1"/>
        <v/>
      </c>
      <c r="B259" s="14"/>
      <c r="C259" s="14"/>
      <c r="D259" s="14"/>
      <c r="E259" s="14"/>
      <c r="F259" s="14"/>
      <c r="G259" s="14"/>
      <c r="H259" s="19"/>
      <c r="I259" s="19"/>
      <c r="J259" s="19"/>
      <c r="K259" s="19" t="str">
        <f>IF(B259="","",SUMIF('Stock IN'!$C$3:$C$302,B259,'Stock IN'!$F$3:$F$302))</f>
        <v/>
      </c>
      <c r="L259" s="19" t="str">
        <f>IF(B259="","",SUMIF('Stock OUT (Issue)'!$D$3:$D$302,B259,'Stock OUT (Issue)'!$G$3:$G$302))</f>
        <v/>
      </c>
      <c r="M259" s="19" t="str">
        <f t="shared" si="2"/>
        <v/>
      </c>
      <c r="N259" s="20" t="str">
        <f t="shared" si="3"/>
        <v/>
      </c>
      <c r="O259" s="14" t="str">
        <f t="shared" si="4"/>
        <v/>
      </c>
      <c r="P259" s="14"/>
      <c r="Q259" s="14"/>
    </row>
    <row r="260" ht="15.75" customHeight="1">
      <c r="A260" s="14" t="str">
        <f t="shared" si="1"/>
        <v/>
      </c>
      <c r="B260" s="14"/>
      <c r="C260" s="14"/>
      <c r="D260" s="14"/>
      <c r="E260" s="14"/>
      <c r="F260" s="14"/>
      <c r="G260" s="14"/>
      <c r="H260" s="19"/>
      <c r="I260" s="19"/>
      <c r="J260" s="19"/>
      <c r="K260" s="19" t="str">
        <f>IF(B260="","",SUMIF('Stock IN'!$C$3:$C$302,B260,'Stock IN'!$F$3:$F$302))</f>
        <v/>
      </c>
      <c r="L260" s="19" t="str">
        <f>IF(B260="","",SUMIF('Stock OUT (Issue)'!$D$3:$D$302,B260,'Stock OUT (Issue)'!$G$3:$G$302))</f>
        <v/>
      </c>
      <c r="M260" s="19" t="str">
        <f t="shared" si="2"/>
        <v/>
      </c>
      <c r="N260" s="20" t="str">
        <f t="shared" si="3"/>
        <v/>
      </c>
      <c r="O260" s="14" t="str">
        <f t="shared" si="4"/>
        <v/>
      </c>
      <c r="P260" s="14"/>
      <c r="Q260" s="14"/>
    </row>
    <row r="261" ht="15.75" customHeight="1">
      <c r="A261" s="14" t="str">
        <f t="shared" si="1"/>
        <v/>
      </c>
      <c r="B261" s="14"/>
      <c r="C261" s="14"/>
      <c r="D261" s="14"/>
      <c r="E261" s="14"/>
      <c r="F261" s="14"/>
      <c r="G261" s="14"/>
      <c r="H261" s="19"/>
      <c r="I261" s="19"/>
      <c r="J261" s="19"/>
      <c r="K261" s="19" t="str">
        <f>IF(B261="","",SUMIF('Stock IN'!$C$3:$C$302,B261,'Stock IN'!$F$3:$F$302))</f>
        <v/>
      </c>
      <c r="L261" s="19" t="str">
        <f>IF(B261="","",SUMIF('Stock OUT (Issue)'!$D$3:$D$302,B261,'Stock OUT (Issue)'!$G$3:$G$302))</f>
        <v/>
      </c>
      <c r="M261" s="19" t="str">
        <f t="shared" si="2"/>
        <v/>
      </c>
      <c r="N261" s="20" t="str">
        <f t="shared" si="3"/>
        <v/>
      </c>
      <c r="O261" s="14" t="str">
        <f t="shared" si="4"/>
        <v/>
      </c>
      <c r="P261" s="14"/>
      <c r="Q261" s="14"/>
    </row>
    <row r="262" ht="15.75" customHeight="1">
      <c r="A262" s="14" t="str">
        <f t="shared" si="1"/>
        <v/>
      </c>
      <c r="B262" s="14"/>
      <c r="C262" s="14"/>
      <c r="D262" s="14"/>
      <c r="E262" s="14"/>
      <c r="F262" s="14"/>
      <c r="G262" s="14"/>
      <c r="H262" s="19"/>
      <c r="I262" s="19"/>
      <c r="J262" s="19"/>
      <c r="K262" s="19" t="str">
        <f>IF(B262="","",SUMIF('Stock IN'!$C$3:$C$302,B262,'Stock IN'!$F$3:$F$302))</f>
        <v/>
      </c>
      <c r="L262" s="19" t="str">
        <f>IF(B262="","",SUMIF('Stock OUT (Issue)'!$D$3:$D$302,B262,'Stock OUT (Issue)'!$G$3:$G$302))</f>
        <v/>
      </c>
      <c r="M262" s="19" t="str">
        <f t="shared" si="2"/>
        <v/>
      </c>
      <c r="N262" s="20" t="str">
        <f t="shared" si="3"/>
        <v/>
      </c>
      <c r="O262" s="14" t="str">
        <f t="shared" si="4"/>
        <v/>
      </c>
      <c r="P262" s="14"/>
      <c r="Q262" s="14"/>
    </row>
    <row r="263" ht="15.75" customHeight="1">
      <c r="A263" s="14" t="str">
        <f t="shared" si="1"/>
        <v/>
      </c>
      <c r="B263" s="14"/>
      <c r="C263" s="14"/>
      <c r="D263" s="14"/>
      <c r="E263" s="14"/>
      <c r="F263" s="14"/>
      <c r="G263" s="14"/>
      <c r="H263" s="19"/>
      <c r="I263" s="19"/>
      <c r="J263" s="19"/>
      <c r="K263" s="19" t="str">
        <f>IF(B263="","",SUMIF('Stock IN'!$C$3:$C$302,B263,'Stock IN'!$F$3:$F$302))</f>
        <v/>
      </c>
      <c r="L263" s="19" t="str">
        <f>IF(B263="","",SUMIF('Stock OUT (Issue)'!$D$3:$D$302,B263,'Stock OUT (Issue)'!$G$3:$G$302))</f>
        <v/>
      </c>
      <c r="M263" s="19" t="str">
        <f t="shared" si="2"/>
        <v/>
      </c>
      <c r="N263" s="20" t="str">
        <f t="shared" si="3"/>
        <v/>
      </c>
      <c r="O263" s="14" t="str">
        <f t="shared" si="4"/>
        <v/>
      </c>
      <c r="P263" s="14"/>
      <c r="Q263" s="14"/>
    </row>
    <row r="264" ht="15.75" customHeight="1">
      <c r="A264" s="14" t="str">
        <f t="shared" si="1"/>
        <v/>
      </c>
      <c r="B264" s="14"/>
      <c r="C264" s="14"/>
      <c r="D264" s="14"/>
      <c r="E264" s="14"/>
      <c r="F264" s="14"/>
      <c r="G264" s="14"/>
      <c r="H264" s="19"/>
      <c r="I264" s="19"/>
      <c r="J264" s="19"/>
      <c r="K264" s="19" t="str">
        <f>IF(B264="","",SUMIF('Stock IN'!$C$3:$C$302,B264,'Stock IN'!$F$3:$F$302))</f>
        <v/>
      </c>
      <c r="L264" s="19" t="str">
        <f>IF(B264="","",SUMIF('Stock OUT (Issue)'!$D$3:$D$302,B264,'Stock OUT (Issue)'!$G$3:$G$302))</f>
        <v/>
      </c>
      <c r="M264" s="19" t="str">
        <f t="shared" si="2"/>
        <v/>
      </c>
      <c r="N264" s="20" t="str">
        <f t="shared" si="3"/>
        <v/>
      </c>
      <c r="O264" s="14" t="str">
        <f t="shared" si="4"/>
        <v/>
      </c>
      <c r="P264" s="14"/>
      <c r="Q264" s="14"/>
    </row>
    <row r="265" ht="15.75" customHeight="1">
      <c r="A265" s="14" t="str">
        <f t="shared" si="1"/>
        <v/>
      </c>
      <c r="B265" s="14"/>
      <c r="C265" s="14"/>
      <c r="D265" s="14"/>
      <c r="E265" s="14"/>
      <c r="F265" s="14"/>
      <c r="G265" s="14"/>
      <c r="H265" s="19"/>
      <c r="I265" s="19"/>
      <c r="J265" s="19"/>
      <c r="K265" s="19" t="str">
        <f>IF(B265="","",SUMIF('Stock IN'!$C$3:$C$302,B265,'Stock IN'!$F$3:$F$302))</f>
        <v/>
      </c>
      <c r="L265" s="19" t="str">
        <f>IF(B265="","",SUMIF('Stock OUT (Issue)'!$D$3:$D$302,B265,'Stock OUT (Issue)'!$G$3:$G$302))</f>
        <v/>
      </c>
      <c r="M265" s="19" t="str">
        <f t="shared" si="2"/>
        <v/>
      </c>
      <c r="N265" s="20" t="str">
        <f t="shared" si="3"/>
        <v/>
      </c>
      <c r="O265" s="14" t="str">
        <f t="shared" si="4"/>
        <v/>
      </c>
      <c r="P265" s="14"/>
      <c r="Q265" s="14"/>
    </row>
    <row r="266" ht="15.75" customHeight="1">
      <c r="A266" s="14" t="str">
        <f t="shared" si="1"/>
        <v/>
      </c>
      <c r="B266" s="14"/>
      <c r="C266" s="14"/>
      <c r="D266" s="14"/>
      <c r="E266" s="14"/>
      <c r="F266" s="14"/>
      <c r="G266" s="14"/>
      <c r="H266" s="19"/>
      <c r="I266" s="19"/>
      <c r="J266" s="19"/>
      <c r="K266" s="19" t="str">
        <f>IF(B266="","",SUMIF('Stock IN'!$C$3:$C$302,B266,'Stock IN'!$F$3:$F$302))</f>
        <v/>
      </c>
      <c r="L266" s="19" t="str">
        <f>IF(B266="","",SUMIF('Stock OUT (Issue)'!$D$3:$D$302,B266,'Stock OUT (Issue)'!$G$3:$G$302))</f>
        <v/>
      </c>
      <c r="M266" s="19" t="str">
        <f t="shared" si="2"/>
        <v/>
      </c>
      <c r="N266" s="20" t="str">
        <f t="shared" si="3"/>
        <v/>
      </c>
      <c r="O266" s="14" t="str">
        <f t="shared" si="4"/>
        <v/>
      </c>
      <c r="P266" s="14"/>
      <c r="Q266" s="14"/>
    </row>
    <row r="267" ht="15.75" customHeight="1">
      <c r="A267" s="14" t="str">
        <f t="shared" si="1"/>
        <v/>
      </c>
      <c r="B267" s="14"/>
      <c r="C267" s="14"/>
      <c r="D267" s="14"/>
      <c r="E267" s="14"/>
      <c r="F267" s="14"/>
      <c r="G267" s="14"/>
      <c r="H267" s="19"/>
      <c r="I267" s="19"/>
      <c r="J267" s="19"/>
      <c r="K267" s="19" t="str">
        <f>IF(B267="","",SUMIF('Stock IN'!$C$3:$C$302,B267,'Stock IN'!$F$3:$F$302))</f>
        <v/>
      </c>
      <c r="L267" s="19" t="str">
        <f>IF(B267="","",SUMIF('Stock OUT (Issue)'!$D$3:$D$302,B267,'Stock OUT (Issue)'!$G$3:$G$302))</f>
        <v/>
      </c>
      <c r="M267" s="19" t="str">
        <f t="shared" si="2"/>
        <v/>
      </c>
      <c r="N267" s="20" t="str">
        <f t="shared" si="3"/>
        <v/>
      </c>
      <c r="O267" s="14" t="str">
        <f t="shared" si="4"/>
        <v/>
      </c>
      <c r="P267" s="14"/>
      <c r="Q267" s="14"/>
    </row>
    <row r="268" ht="15.75" customHeight="1">
      <c r="A268" s="14" t="str">
        <f t="shared" si="1"/>
        <v/>
      </c>
      <c r="B268" s="14"/>
      <c r="C268" s="14"/>
      <c r="D268" s="14"/>
      <c r="E268" s="14"/>
      <c r="F268" s="14"/>
      <c r="G268" s="14"/>
      <c r="H268" s="19"/>
      <c r="I268" s="19"/>
      <c r="J268" s="19"/>
      <c r="K268" s="19" t="str">
        <f>IF(B268="","",SUMIF('Stock IN'!$C$3:$C$302,B268,'Stock IN'!$F$3:$F$302))</f>
        <v/>
      </c>
      <c r="L268" s="19" t="str">
        <f>IF(B268="","",SUMIF('Stock OUT (Issue)'!$D$3:$D$302,B268,'Stock OUT (Issue)'!$G$3:$G$302))</f>
        <v/>
      </c>
      <c r="M268" s="19" t="str">
        <f t="shared" si="2"/>
        <v/>
      </c>
      <c r="N268" s="20" t="str">
        <f t="shared" si="3"/>
        <v/>
      </c>
      <c r="O268" s="14" t="str">
        <f t="shared" si="4"/>
        <v/>
      </c>
      <c r="P268" s="14"/>
      <c r="Q268" s="14"/>
    </row>
    <row r="269" ht="15.75" customHeight="1">
      <c r="A269" s="14" t="str">
        <f t="shared" si="1"/>
        <v/>
      </c>
      <c r="B269" s="14"/>
      <c r="C269" s="14"/>
      <c r="D269" s="14"/>
      <c r="E269" s="14"/>
      <c r="F269" s="14"/>
      <c r="G269" s="14"/>
      <c r="H269" s="19"/>
      <c r="I269" s="19"/>
      <c r="J269" s="19"/>
      <c r="K269" s="19" t="str">
        <f>IF(B269="","",SUMIF('Stock IN'!$C$3:$C$302,B269,'Stock IN'!$F$3:$F$302))</f>
        <v/>
      </c>
      <c r="L269" s="19" t="str">
        <f>IF(B269="","",SUMIF('Stock OUT (Issue)'!$D$3:$D$302,B269,'Stock OUT (Issue)'!$G$3:$G$302))</f>
        <v/>
      </c>
      <c r="M269" s="19" t="str">
        <f t="shared" si="2"/>
        <v/>
      </c>
      <c r="N269" s="20" t="str">
        <f t="shared" si="3"/>
        <v/>
      </c>
      <c r="O269" s="14" t="str">
        <f t="shared" si="4"/>
        <v/>
      </c>
      <c r="P269" s="14"/>
      <c r="Q269" s="14"/>
    </row>
    <row r="270" ht="15.75" customHeight="1">
      <c r="A270" s="14" t="str">
        <f t="shared" si="1"/>
        <v/>
      </c>
      <c r="B270" s="14"/>
      <c r="C270" s="14"/>
      <c r="D270" s="14"/>
      <c r="E270" s="14"/>
      <c r="F270" s="14"/>
      <c r="G270" s="14"/>
      <c r="H270" s="19"/>
      <c r="I270" s="19"/>
      <c r="J270" s="19"/>
      <c r="K270" s="19" t="str">
        <f>IF(B270="","",SUMIF('Stock IN'!$C$3:$C$302,B270,'Stock IN'!$F$3:$F$302))</f>
        <v/>
      </c>
      <c r="L270" s="19" t="str">
        <f>IF(B270="","",SUMIF('Stock OUT (Issue)'!$D$3:$D$302,B270,'Stock OUT (Issue)'!$G$3:$G$302))</f>
        <v/>
      </c>
      <c r="M270" s="19" t="str">
        <f t="shared" si="2"/>
        <v/>
      </c>
      <c r="N270" s="20" t="str">
        <f t="shared" si="3"/>
        <v/>
      </c>
      <c r="O270" s="14" t="str">
        <f t="shared" si="4"/>
        <v/>
      </c>
      <c r="P270" s="14"/>
      <c r="Q270" s="14"/>
    </row>
    <row r="271" ht="15.75" customHeight="1">
      <c r="A271" s="14" t="str">
        <f t="shared" si="1"/>
        <v/>
      </c>
      <c r="B271" s="14"/>
      <c r="C271" s="14"/>
      <c r="D271" s="14"/>
      <c r="E271" s="14"/>
      <c r="F271" s="14"/>
      <c r="G271" s="14"/>
      <c r="H271" s="19"/>
      <c r="I271" s="19"/>
      <c r="J271" s="19"/>
      <c r="K271" s="19" t="str">
        <f>IF(B271="","",SUMIF('Stock IN'!$C$3:$C$302,B271,'Stock IN'!$F$3:$F$302))</f>
        <v/>
      </c>
      <c r="L271" s="19" t="str">
        <f>IF(B271="","",SUMIF('Stock OUT (Issue)'!$D$3:$D$302,B271,'Stock OUT (Issue)'!$G$3:$G$302))</f>
        <v/>
      </c>
      <c r="M271" s="19" t="str">
        <f t="shared" si="2"/>
        <v/>
      </c>
      <c r="N271" s="20" t="str">
        <f t="shared" si="3"/>
        <v/>
      </c>
      <c r="O271" s="14" t="str">
        <f t="shared" si="4"/>
        <v/>
      </c>
      <c r="P271" s="14"/>
      <c r="Q271" s="14"/>
    </row>
    <row r="272" ht="15.75" customHeight="1">
      <c r="A272" s="14" t="str">
        <f t="shared" si="1"/>
        <v/>
      </c>
      <c r="B272" s="14"/>
      <c r="C272" s="14"/>
      <c r="D272" s="14"/>
      <c r="E272" s="14"/>
      <c r="F272" s="14"/>
      <c r="G272" s="14"/>
      <c r="H272" s="19"/>
      <c r="I272" s="19"/>
      <c r="J272" s="19"/>
      <c r="K272" s="19" t="str">
        <f>IF(B272="","",SUMIF('Stock IN'!$C$3:$C$302,B272,'Stock IN'!$F$3:$F$302))</f>
        <v/>
      </c>
      <c r="L272" s="19" t="str">
        <f>IF(B272="","",SUMIF('Stock OUT (Issue)'!$D$3:$D$302,B272,'Stock OUT (Issue)'!$G$3:$G$302))</f>
        <v/>
      </c>
      <c r="M272" s="19" t="str">
        <f t="shared" si="2"/>
        <v/>
      </c>
      <c r="N272" s="20" t="str">
        <f t="shared" si="3"/>
        <v/>
      </c>
      <c r="O272" s="14" t="str">
        <f t="shared" si="4"/>
        <v/>
      </c>
      <c r="P272" s="14"/>
      <c r="Q272" s="14"/>
    </row>
    <row r="273" ht="15.75" customHeight="1">
      <c r="A273" s="14" t="str">
        <f t="shared" si="1"/>
        <v/>
      </c>
      <c r="B273" s="14"/>
      <c r="C273" s="14"/>
      <c r="D273" s="14"/>
      <c r="E273" s="14"/>
      <c r="F273" s="14"/>
      <c r="G273" s="14"/>
      <c r="H273" s="19"/>
      <c r="I273" s="19"/>
      <c r="J273" s="19"/>
      <c r="K273" s="19" t="str">
        <f>IF(B273="","",SUMIF('Stock IN'!$C$3:$C$302,B273,'Stock IN'!$F$3:$F$302))</f>
        <v/>
      </c>
      <c r="L273" s="19" t="str">
        <f>IF(B273="","",SUMIF('Stock OUT (Issue)'!$D$3:$D$302,B273,'Stock OUT (Issue)'!$G$3:$G$302))</f>
        <v/>
      </c>
      <c r="M273" s="19" t="str">
        <f t="shared" si="2"/>
        <v/>
      </c>
      <c r="N273" s="20" t="str">
        <f t="shared" si="3"/>
        <v/>
      </c>
      <c r="O273" s="14" t="str">
        <f t="shared" si="4"/>
        <v/>
      </c>
      <c r="P273" s="14"/>
      <c r="Q273" s="14"/>
    </row>
    <row r="274" ht="15.75" customHeight="1">
      <c r="A274" s="14" t="str">
        <f t="shared" si="1"/>
        <v/>
      </c>
      <c r="B274" s="14"/>
      <c r="C274" s="14"/>
      <c r="D274" s="14"/>
      <c r="E274" s="14"/>
      <c r="F274" s="14"/>
      <c r="G274" s="14"/>
      <c r="H274" s="19"/>
      <c r="I274" s="19"/>
      <c r="J274" s="19"/>
      <c r="K274" s="19" t="str">
        <f>IF(B274="","",SUMIF('Stock IN'!$C$3:$C$302,B274,'Stock IN'!$F$3:$F$302))</f>
        <v/>
      </c>
      <c r="L274" s="19" t="str">
        <f>IF(B274="","",SUMIF('Stock OUT (Issue)'!$D$3:$D$302,B274,'Stock OUT (Issue)'!$G$3:$G$302))</f>
        <v/>
      </c>
      <c r="M274" s="19" t="str">
        <f t="shared" si="2"/>
        <v/>
      </c>
      <c r="N274" s="20" t="str">
        <f t="shared" si="3"/>
        <v/>
      </c>
      <c r="O274" s="14" t="str">
        <f t="shared" si="4"/>
        <v/>
      </c>
      <c r="P274" s="14"/>
      <c r="Q274" s="14"/>
    </row>
    <row r="275" ht="15.75" customHeight="1">
      <c r="A275" s="14" t="str">
        <f t="shared" si="1"/>
        <v/>
      </c>
      <c r="B275" s="14"/>
      <c r="C275" s="14"/>
      <c r="D275" s="14"/>
      <c r="E275" s="14"/>
      <c r="F275" s="14"/>
      <c r="G275" s="14"/>
      <c r="H275" s="19"/>
      <c r="I275" s="19"/>
      <c r="J275" s="19"/>
      <c r="K275" s="19" t="str">
        <f>IF(B275="","",SUMIF('Stock IN'!$C$3:$C$302,B275,'Stock IN'!$F$3:$F$302))</f>
        <v/>
      </c>
      <c r="L275" s="19" t="str">
        <f>IF(B275="","",SUMIF('Stock OUT (Issue)'!$D$3:$D$302,B275,'Stock OUT (Issue)'!$G$3:$G$302))</f>
        <v/>
      </c>
      <c r="M275" s="19" t="str">
        <f t="shared" si="2"/>
        <v/>
      </c>
      <c r="N275" s="20" t="str">
        <f t="shared" si="3"/>
        <v/>
      </c>
      <c r="O275" s="14" t="str">
        <f t="shared" si="4"/>
        <v/>
      </c>
      <c r="P275" s="14"/>
      <c r="Q275" s="14"/>
    </row>
    <row r="276" ht="15.75" customHeight="1">
      <c r="A276" s="14" t="str">
        <f t="shared" si="1"/>
        <v/>
      </c>
      <c r="B276" s="14"/>
      <c r="C276" s="14"/>
      <c r="D276" s="14"/>
      <c r="E276" s="14"/>
      <c r="F276" s="14"/>
      <c r="G276" s="14"/>
      <c r="H276" s="19"/>
      <c r="I276" s="19"/>
      <c r="J276" s="19"/>
      <c r="K276" s="19" t="str">
        <f>IF(B276="","",SUMIF('Stock IN'!$C$3:$C$302,B276,'Stock IN'!$F$3:$F$302))</f>
        <v/>
      </c>
      <c r="L276" s="19" t="str">
        <f>IF(B276="","",SUMIF('Stock OUT (Issue)'!$D$3:$D$302,B276,'Stock OUT (Issue)'!$G$3:$G$302))</f>
        <v/>
      </c>
      <c r="M276" s="19" t="str">
        <f t="shared" si="2"/>
        <v/>
      </c>
      <c r="N276" s="20" t="str">
        <f t="shared" si="3"/>
        <v/>
      </c>
      <c r="O276" s="14" t="str">
        <f t="shared" si="4"/>
        <v/>
      </c>
      <c r="P276" s="14"/>
      <c r="Q276" s="14"/>
    </row>
    <row r="277" ht="15.75" customHeight="1">
      <c r="A277" s="14" t="str">
        <f t="shared" si="1"/>
        <v/>
      </c>
      <c r="B277" s="14"/>
      <c r="C277" s="14"/>
      <c r="D277" s="14"/>
      <c r="E277" s="14"/>
      <c r="F277" s="14"/>
      <c r="G277" s="14"/>
      <c r="H277" s="19"/>
      <c r="I277" s="19"/>
      <c r="J277" s="19"/>
      <c r="K277" s="19" t="str">
        <f>IF(B277="","",SUMIF('Stock IN'!$C$3:$C$302,B277,'Stock IN'!$F$3:$F$302))</f>
        <v/>
      </c>
      <c r="L277" s="19" t="str">
        <f>IF(B277="","",SUMIF('Stock OUT (Issue)'!$D$3:$D$302,B277,'Stock OUT (Issue)'!$G$3:$G$302))</f>
        <v/>
      </c>
      <c r="M277" s="19" t="str">
        <f t="shared" si="2"/>
        <v/>
      </c>
      <c r="N277" s="20" t="str">
        <f t="shared" si="3"/>
        <v/>
      </c>
      <c r="O277" s="14" t="str">
        <f t="shared" si="4"/>
        <v/>
      </c>
      <c r="P277" s="14"/>
      <c r="Q277" s="14"/>
    </row>
    <row r="278" ht="15.75" customHeight="1">
      <c r="A278" s="14" t="str">
        <f t="shared" si="1"/>
        <v/>
      </c>
      <c r="B278" s="14"/>
      <c r="C278" s="14"/>
      <c r="D278" s="14"/>
      <c r="E278" s="14"/>
      <c r="F278" s="14"/>
      <c r="G278" s="14"/>
      <c r="H278" s="19"/>
      <c r="I278" s="19"/>
      <c r="J278" s="19"/>
      <c r="K278" s="19" t="str">
        <f>IF(B278="","",SUMIF('Stock IN'!$C$3:$C$302,B278,'Stock IN'!$F$3:$F$302))</f>
        <v/>
      </c>
      <c r="L278" s="19" t="str">
        <f>IF(B278="","",SUMIF('Stock OUT (Issue)'!$D$3:$D$302,B278,'Stock OUT (Issue)'!$G$3:$G$302))</f>
        <v/>
      </c>
      <c r="M278" s="19" t="str">
        <f t="shared" si="2"/>
        <v/>
      </c>
      <c r="N278" s="20" t="str">
        <f t="shared" si="3"/>
        <v/>
      </c>
      <c r="O278" s="14" t="str">
        <f t="shared" si="4"/>
        <v/>
      </c>
      <c r="P278" s="14"/>
      <c r="Q278" s="14"/>
    </row>
    <row r="279" ht="15.75" customHeight="1">
      <c r="A279" s="14" t="str">
        <f t="shared" si="1"/>
        <v/>
      </c>
      <c r="B279" s="14"/>
      <c r="C279" s="14"/>
      <c r="D279" s="14"/>
      <c r="E279" s="14"/>
      <c r="F279" s="14"/>
      <c r="G279" s="14"/>
      <c r="H279" s="19"/>
      <c r="I279" s="19"/>
      <c r="J279" s="19"/>
      <c r="K279" s="19" t="str">
        <f>IF(B279="","",SUMIF('Stock IN'!$C$3:$C$302,B279,'Stock IN'!$F$3:$F$302))</f>
        <v/>
      </c>
      <c r="L279" s="19" t="str">
        <f>IF(B279="","",SUMIF('Stock OUT (Issue)'!$D$3:$D$302,B279,'Stock OUT (Issue)'!$G$3:$G$302))</f>
        <v/>
      </c>
      <c r="M279" s="19" t="str">
        <f t="shared" si="2"/>
        <v/>
      </c>
      <c r="N279" s="20" t="str">
        <f t="shared" si="3"/>
        <v/>
      </c>
      <c r="O279" s="14" t="str">
        <f t="shared" si="4"/>
        <v/>
      </c>
      <c r="P279" s="14"/>
      <c r="Q279" s="14"/>
    </row>
    <row r="280" ht="15.75" customHeight="1">
      <c r="A280" s="14" t="str">
        <f t="shared" si="1"/>
        <v/>
      </c>
      <c r="B280" s="14"/>
      <c r="C280" s="14"/>
      <c r="D280" s="14"/>
      <c r="E280" s="14"/>
      <c r="F280" s="14"/>
      <c r="G280" s="14"/>
      <c r="H280" s="19"/>
      <c r="I280" s="19"/>
      <c r="J280" s="19"/>
      <c r="K280" s="19" t="str">
        <f>IF(B280="","",SUMIF('Stock IN'!$C$3:$C$302,B280,'Stock IN'!$F$3:$F$302))</f>
        <v/>
      </c>
      <c r="L280" s="19" t="str">
        <f>IF(B280="","",SUMIF('Stock OUT (Issue)'!$D$3:$D$302,B280,'Stock OUT (Issue)'!$G$3:$G$302))</f>
        <v/>
      </c>
      <c r="M280" s="19" t="str">
        <f t="shared" si="2"/>
        <v/>
      </c>
      <c r="N280" s="20" t="str">
        <f t="shared" si="3"/>
        <v/>
      </c>
      <c r="O280" s="14" t="str">
        <f t="shared" si="4"/>
        <v/>
      </c>
      <c r="P280" s="14"/>
      <c r="Q280" s="14"/>
    </row>
    <row r="281" ht="15.75" customHeight="1">
      <c r="A281" s="14" t="str">
        <f t="shared" si="1"/>
        <v/>
      </c>
      <c r="B281" s="14"/>
      <c r="C281" s="14"/>
      <c r="D281" s="14"/>
      <c r="E281" s="14"/>
      <c r="F281" s="14"/>
      <c r="G281" s="14"/>
      <c r="H281" s="19"/>
      <c r="I281" s="19"/>
      <c r="J281" s="19"/>
      <c r="K281" s="19" t="str">
        <f>IF(B281="","",SUMIF('Stock IN'!$C$3:$C$302,B281,'Stock IN'!$F$3:$F$302))</f>
        <v/>
      </c>
      <c r="L281" s="19" t="str">
        <f>IF(B281="","",SUMIF('Stock OUT (Issue)'!$D$3:$D$302,B281,'Stock OUT (Issue)'!$G$3:$G$302))</f>
        <v/>
      </c>
      <c r="M281" s="19" t="str">
        <f t="shared" si="2"/>
        <v/>
      </c>
      <c r="N281" s="20" t="str">
        <f t="shared" si="3"/>
        <v/>
      </c>
      <c r="O281" s="14" t="str">
        <f t="shared" si="4"/>
        <v/>
      </c>
      <c r="P281" s="14"/>
      <c r="Q281" s="14"/>
    </row>
    <row r="282" ht="15.75" customHeight="1">
      <c r="A282" s="14" t="str">
        <f t="shared" si="1"/>
        <v/>
      </c>
      <c r="B282" s="14"/>
      <c r="C282" s="14"/>
      <c r="D282" s="14"/>
      <c r="E282" s="14"/>
      <c r="F282" s="14"/>
      <c r="G282" s="14"/>
      <c r="H282" s="19"/>
      <c r="I282" s="19"/>
      <c r="J282" s="19"/>
      <c r="K282" s="19" t="str">
        <f>IF(B282="","",SUMIF('Stock IN'!$C$3:$C$302,B282,'Stock IN'!$F$3:$F$302))</f>
        <v/>
      </c>
      <c r="L282" s="19" t="str">
        <f>IF(B282="","",SUMIF('Stock OUT (Issue)'!$D$3:$D$302,B282,'Stock OUT (Issue)'!$G$3:$G$302))</f>
        <v/>
      </c>
      <c r="M282" s="19" t="str">
        <f t="shared" si="2"/>
        <v/>
      </c>
      <c r="N282" s="20" t="str">
        <f t="shared" si="3"/>
        <v/>
      </c>
      <c r="O282" s="14" t="str">
        <f t="shared" si="4"/>
        <v/>
      </c>
      <c r="P282" s="14"/>
      <c r="Q282" s="14"/>
    </row>
    <row r="283" ht="15.75" customHeight="1">
      <c r="A283" s="14" t="str">
        <f t="shared" si="1"/>
        <v/>
      </c>
      <c r="B283" s="14"/>
      <c r="C283" s="14"/>
      <c r="D283" s="14"/>
      <c r="E283" s="14"/>
      <c r="F283" s="14"/>
      <c r="G283" s="14"/>
      <c r="H283" s="19"/>
      <c r="I283" s="19"/>
      <c r="J283" s="19"/>
      <c r="K283" s="19" t="str">
        <f>IF(B283="","",SUMIF('Stock IN'!$C$3:$C$302,B283,'Stock IN'!$F$3:$F$302))</f>
        <v/>
      </c>
      <c r="L283" s="19" t="str">
        <f>IF(B283="","",SUMIF('Stock OUT (Issue)'!$D$3:$D$302,B283,'Stock OUT (Issue)'!$G$3:$G$302))</f>
        <v/>
      </c>
      <c r="M283" s="19" t="str">
        <f t="shared" si="2"/>
        <v/>
      </c>
      <c r="N283" s="20" t="str">
        <f t="shared" si="3"/>
        <v/>
      </c>
      <c r="O283" s="14" t="str">
        <f t="shared" si="4"/>
        <v/>
      </c>
      <c r="P283" s="14"/>
      <c r="Q283" s="14"/>
    </row>
    <row r="284" ht="15.75" customHeight="1">
      <c r="A284" s="14" t="str">
        <f t="shared" si="1"/>
        <v/>
      </c>
      <c r="B284" s="14"/>
      <c r="C284" s="14"/>
      <c r="D284" s="14"/>
      <c r="E284" s="14"/>
      <c r="F284" s="14"/>
      <c r="G284" s="14"/>
      <c r="H284" s="19"/>
      <c r="I284" s="19"/>
      <c r="J284" s="19"/>
      <c r="K284" s="19" t="str">
        <f>IF(B284="","",SUMIF('Stock IN'!$C$3:$C$302,B284,'Stock IN'!$F$3:$F$302))</f>
        <v/>
      </c>
      <c r="L284" s="19" t="str">
        <f>IF(B284="","",SUMIF('Stock OUT (Issue)'!$D$3:$D$302,B284,'Stock OUT (Issue)'!$G$3:$G$302))</f>
        <v/>
      </c>
      <c r="M284" s="19" t="str">
        <f t="shared" si="2"/>
        <v/>
      </c>
      <c r="N284" s="20" t="str">
        <f t="shared" si="3"/>
        <v/>
      </c>
      <c r="O284" s="14" t="str">
        <f t="shared" si="4"/>
        <v/>
      </c>
      <c r="P284" s="14"/>
      <c r="Q284" s="14"/>
    </row>
    <row r="285" ht="15.75" customHeight="1">
      <c r="A285" s="14" t="str">
        <f t="shared" si="1"/>
        <v/>
      </c>
      <c r="B285" s="14"/>
      <c r="C285" s="14"/>
      <c r="D285" s="14"/>
      <c r="E285" s="14"/>
      <c r="F285" s="14"/>
      <c r="G285" s="14"/>
      <c r="H285" s="19"/>
      <c r="I285" s="19"/>
      <c r="J285" s="19"/>
      <c r="K285" s="19" t="str">
        <f>IF(B285="","",SUMIF('Stock IN'!$C$3:$C$302,B285,'Stock IN'!$F$3:$F$302))</f>
        <v/>
      </c>
      <c r="L285" s="19" t="str">
        <f>IF(B285="","",SUMIF('Stock OUT (Issue)'!$D$3:$D$302,B285,'Stock OUT (Issue)'!$G$3:$G$302))</f>
        <v/>
      </c>
      <c r="M285" s="19" t="str">
        <f t="shared" si="2"/>
        <v/>
      </c>
      <c r="N285" s="20" t="str">
        <f t="shared" si="3"/>
        <v/>
      </c>
      <c r="O285" s="14" t="str">
        <f t="shared" si="4"/>
        <v/>
      </c>
      <c r="P285" s="14"/>
      <c r="Q285" s="14"/>
    </row>
    <row r="286" ht="15.75" customHeight="1">
      <c r="A286" s="14" t="str">
        <f t="shared" si="1"/>
        <v/>
      </c>
      <c r="B286" s="14"/>
      <c r="C286" s="14"/>
      <c r="D286" s="14"/>
      <c r="E286" s="14"/>
      <c r="F286" s="14"/>
      <c r="G286" s="14"/>
      <c r="H286" s="19"/>
      <c r="I286" s="19"/>
      <c r="J286" s="19"/>
      <c r="K286" s="19" t="str">
        <f>IF(B286="","",SUMIF('Stock IN'!$C$3:$C$302,B286,'Stock IN'!$F$3:$F$302))</f>
        <v/>
      </c>
      <c r="L286" s="19" t="str">
        <f>IF(B286="","",SUMIF('Stock OUT (Issue)'!$D$3:$D$302,B286,'Stock OUT (Issue)'!$G$3:$G$302))</f>
        <v/>
      </c>
      <c r="M286" s="19" t="str">
        <f t="shared" si="2"/>
        <v/>
      </c>
      <c r="N286" s="20" t="str">
        <f t="shared" si="3"/>
        <v/>
      </c>
      <c r="O286" s="14" t="str">
        <f t="shared" si="4"/>
        <v/>
      </c>
      <c r="P286" s="14"/>
      <c r="Q286" s="14"/>
    </row>
    <row r="287" ht="15.75" customHeight="1">
      <c r="A287" s="14" t="str">
        <f t="shared" si="1"/>
        <v/>
      </c>
      <c r="B287" s="14"/>
      <c r="C287" s="14"/>
      <c r="D287" s="14"/>
      <c r="E287" s="14"/>
      <c r="F287" s="14"/>
      <c r="G287" s="14"/>
      <c r="H287" s="19"/>
      <c r="I287" s="19"/>
      <c r="J287" s="19"/>
      <c r="K287" s="19" t="str">
        <f>IF(B287="","",SUMIF('Stock IN'!$C$3:$C$302,B287,'Stock IN'!$F$3:$F$302))</f>
        <v/>
      </c>
      <c r="L287" s="19" t="str">
        <f>IF(B287="","",SUMIF('Stock OUT (Issue)'!$D$3:$D$302,B287,'Stock OUT (Issue)'!$G$3:$G$302))</f>
        <v/>
      </c>
      <c r="M287" s="19" t="str">
        <f t="shared" si="2"/>
        <v/>
      </c>
      <c r="N287" s="20" t="str">
        <f t="shared" si="3"/>
        <v/>
      </c>
      <c r="O287" s="14" t="str">
        <f t="shared" si="4"/>
        <v/>
      </c>
      <c r="P287" s="14"/>
      <c r="Q287" s="14"/>
    </row>
    <row r="288" ht="15.75" customHeight="1">
      <c r="A288" s="14" t="str">
        <f t="shared" si="1"/>
        <v/>
      </c>
      <c r="B288" s="14"/>
      <c r="C288" s="14"/>
      <c r="D288" s="14"/>
      <c r="E288" s="14"/>
      <c r="F288" s="14"/>
      <c r="G288" s="14"/>
      <c r="H288" s="19"/>
      <c r="I288" s="19"/>
      <c r="J288" s="19"/>
      <c r="K288" s="19" t="str">
        <f>IF(B288="","",SUMIF('Stock IN'!$C$3:$C$302,B288,'Stock IN'!$F$3:$F$302))</f>
        <v/>
      </c>
      <c r="L288" s="19" t="str">
        <f>IF(B288="","",SUMIF('Stock OUT (Issue)'!$D$3:$D$302,B288,'Stock OUT (Issue)'!$G$3:$G$302))</f>
        <v/>
      </c>
      <c r="M288" s="19" t="str">
        <f t="shared" si="2"/>
        <v/>
      </c>
      <c r="N288" s="20" t="str">
        <f t="shared" si="3"/>
        <v/>
      </c>
      <c r="O288" s="14" t="str">
        <f t="shared" si="4"/>
        <v/>
      </c>
      <c r="P288" s="14"/>
      <c r="Q288" s="14"/>
    </row>
    <row r="289" ht="15.75" customHeight="1">
      <c r="A289" s="14" t="str">
        <f t="shared" si="1"/>
        <v/>
      </c>
      <c r="B289" s="14"/>
      <c r="C289" s="14"/>
      <c r="D289" s="14"/>
      <c r="E289" s="14"/>
      <c r="F289" s="14"/>
      <c r="G289" s="14"/>
      <c r="H289" s="19"/>
      <c r="I289" s="19"/>
      <c r="J289" s="19"/>
      <c r="K289" s="19" t="str">
        <f>IF(B289="","",SUMIF('Stock IN'!$C$3:$C$302,B289,'Stock IN'!$F$3:$F$302))</f>
        <v/>
      </c>
      <c r="L289" s="19" t="str">
        <f>IF(B289="","",SUMIF('Stock OUT (Issue)'!$D$3:$D$302,B289,'Stock OUT (Issue)'!$G$3:$G$302))</f>
        <v/>
      </c>
      <c r="M289" s="19" t="str">
        <f t="shared" si="2"/>
        <v/>
      </c>
      <c r="N289" s="20" t="str">
        <f t="shared" si="3"/>
        <v/>
      </c>
      <c r="O289" s="14" t="str">
        <f t="shared" si="4"/>
        <v/>
      </c>
      <c r="P289" s="14"/>
      <c r="Q289" s="14"/>
    </row>
    <row r="290" ht="15.75" customHeight="1">
      <c r="A290" s="14" t="str">
        <f t="shared" si="1"/>
        <v/>
      </c>
      <c r="B290" s="14"/>
      <c r="C290" s="14"/>
      <c r="D290" s="14"/>
      <c r="E290" s="14"/>
      <c r="F290" s="14"/>
      <c r="G290" s="14"/>
      <c r="H290" s="19"/>
      <c r="I290" s="19"/>
      <c r="J290" s="19"/>
      <c r="K290" s="19" t="str">
        <f>IF(B290="","",SUMIF('Stock IN'!$C$3:$C$302,B290,'Stock IN'!$F$3:$F$302))</f>
        <v/>
      </c>
      <c r="L290" s="19" t="str">
        <f>IF(B290="","",SUMIF('Stock OUT (Issue)'!$D$3:$D$302,B290,'Stock OUT (Issue)'!$G$3:$G$302))</f>
        <v/>
      </c>
      <c r="M290" s="19" t="str">
        <f t="shared" si="2"/>
        <v/>
      </c>
      <c r="N290" s="20" t="str">
        <f t="shared" si="3"/>
        <v/>
      </c>
      <c r="O290" s="14" t="str">
        <f t="shared" si="4"/>
        <v/>
      </c>
      <c r="P290" s="14"/>
      <c r="Q290" s="14"/>
    </row>
    <row r="291" ht="15.75" customHeight="1">
      <c r="A291" s="14" t="str">
        <f t="shared" si="1"/>
        <v/>
      </c>
      <c r="B291" s="14"/>
      <c r="C291" s="14"/>
      <c r="D291" s="14"/>
      <c r="E291" s="14"/>
      <c r="F291" s="14"/>
      <c r="G291" s="14"/>
      <c r="H291" s="19"/>
      <c r="I291" s="19"/>
      <c r="J291" s="19"/>
      <c r="K291" s="19" t="str">
        <f>IF(B291="","",SUMIF('Stock IN'!$C$3:$C$302,B291,'Stock IN'!$F$3:$F$302))</f>
        <v/>
      </c>
      <c r="L291" s="19" t="str">
        <f>IF(B291="","",SUMIF('Stock OUT (Issue)'!$D$3:$D$302,B291,'Stock OUT (Issue)'!$G$3:$G$302))</f>
        <v/>
      </c>
      <c r="M291" s="19" t="str">
        <f t="shared" si="2"/>
        <v/>
      </c>
      <c r="N291" s="20" t="str">
        <f t="shared" si="3"/>
        <v/>
      </c>
      <c r="O291" s="14" t="str">
        <f t="shared" si="4"/>
        <v/>
      </c>
      <c r="P291" s="14"/>
      <c r="Q291" s="14"/>
    </row>
    <row r="292" ht="15.75" customHeight="1">
      <c r="A292" s="14" t="str">
        <f t="shared" si="1"/>
        <v/>
      </c>
      <c r="B292" s="14"/>
      <c r="C292" s="14"/>
      <c r="D292" s="14"/>
      <c r="E292" s="14"/>
      <c r="F292" s="14"/>
      <c r="G292" s="14"/>
      <c r="H292" s="19"/>
      <c r="I292" s="19"/>
      <c r="J292" s="19"/>
      <c r="K292" s="19" t="str">
        <f>IF(B292="","",SUMIF('Stock IN'!$C$3:$C$302,B292,'Stock IN'!$F$3:$F$302))</f>
        <v/>
      </c>
      <c r="L292" s="19" t="str">
        <f>IF(B292="","",SUMIF('Stock OUT (Issue)'!$D$3:$D$302,B292,'Stock OUT (Issue)'!$G$3:$G$302))</f>
        <v/>
      </c>
      <c r="M292" s="19" t="str">
        <f t="shared" si="2"/>
        <v/>
      </c>
      <c r="N292" s="20" t="str">
        <f t="shared" si="3"/>
        <v/>
      </c>
      <c r="O292" s="14" t="str">
        <f t="shared" si="4"/>
        <v/>
      </c>
      <c r="P292" s="14"/>
      <c r="Q292" s="14"/>
    </row>
    <row r="293" ht="15.75" customHeight="1">
      <c r="A293" s="14" t="str">
        <f t="shared" si="1"/>
        <v/>
      </c>
      <c r="B293" s="14"/>
      <c r="C293" s="14"/>
      <c r="D293" s="14"/>
      <c r="E293" s="14"/>
      <c r="F293" s="14"/>
      <c r="G293" s="14"/>
      <c r="H293" s="19"/>
      <c r="I293" s="19"/>
      <c r="J293" s="19"/>
      <c r="K293" s="19" t="str">
        <f>IF(B293="","",SUMIF('Stock IN'!$C$3:$C$302,B293,'Stock IN'!$F$3:$F$302))</f>
        <v/>
      </c>
      <c r="L293" s="19" t="str">
        <f>IF(B293="","",SUMIF('Stock OUT (Issue)'!$D$3:$D$302,B293,'Stock OUT (Issue)'!$G$3:$G$302))</f>
        <v/>
      </c>
      <c r="M293" s="19" t="str">
        <f t="shared" si="2"/>
        <v/>
      </c>
      <c r="N293" s="20" t="str">
        <f t="shared" si="3"/>
        <v/>
      </c>
      <c r="O293" s="14" t="str">
        <f t="shared" si="4"/>
        <v/>
      </c>
      <c r="P293" s="14"/>
      <c r="Q293" s="14"/>
    </row>
    <row r="294" ht="15.75" customHeight="1">
      <c r="A294" s="14" t="str">
        <f t="shared" si="1"/>
        <v/>
      </c>
      <c r="B294" s="14"/>
      <c r="C294" s="14"/>
      <c r="D294" s="14"/>
      <c r="E294" s="14"/>
      <c r="F294" s="14"/>
      <c r="G294" s="14"/>
      <c r="H294" s="19"/>
      <c r="I294" s="19"/>
      <c r="J294" s="19"/>
      <c r="K294" s="19" t="str">
        <f>IF(B294="","",SUMIF('Stock IN'!$C$3:$C$302,B294,'Stock IN'!$F$3:$F$302))</f>
        <v/>
      </c>
      <c r="L294" s="19" t="str">
        <f>IF(B294="","",SUMIF('Stock OUT (Issue)'!$D$3:$D$302,B294,'Stock OUT (Issue)'!$G$3:$G$302))</f>
        <v/>
      </c>
      <c r="M294" s="19" t="str">
        <f t="shared" si="2"/>
        <v/>
      </c>
      <c r="N294" s="20" t="str">
        <f t="shared" si="3"/>
        <v/>
      </c>
      <c r="O294" s="14" t="str">
        <f t="shared" si="4"/>
        <v/>
      </c>
      <c r="P294" s="14"/>
      <c r="Q294" s="14"/>
    </row>
    <row r="295" ht="15.75" customHeight="1">
      <c r="A295" s="14" t="str">
        <f t="shared" si="1"/>
        <v/>
      </c>
      <c r="B295" s="14"/>
      <c r="C295" s="14"/>
      <c r="D295" s="14"/>
      <c r="E295" s="14"/>
      <c r="F295" s="14"/>
      <c r="G295" s="14"/>
      <c r="H295" s="19"/>
      <c r="I295" s="19"/>
      <c r="J295" s="19"/>
      <c r="K295" s="19" t="str">
        <f>IF(B295="","",SUMIF('Stock IN'!$C$3:$C$302,B295,'Stock IN'!$F$3:$F$302))</f>
        <v/>
      </c>
      <c r="L295" s="19" t="str">
        <f>IF(B295="","",SUMIF('Stock OUT (Issue)'!$D$3:$D$302,B295,'Stock OUT (Issue)'!$G$3:$G$302))</f>
        <v/>
      </c>
      <c r="M295" s="19" t="str">
        <f t="shared" si="2"/>
        <v/>
      </c>
      <c r="N295" s="20" t="str">
        <f t="shared" si="3"/>
        <v/>
      </c>
      <c r="O295" s="14" t="str">
        <f t="shared" si="4"/>
        <v/>
      </c>
      <c r="P295" s="14"/>
      <c r="Q295" s="14"/>
    </row>
    <row r="296" ht="15.75" customHeight="1">
      <c r="A296" s="14" t="str">
        <f t="shared" si="1"/>
        <v/>
      </c>
      <c r="B296" s="14"/>
      <c r="C296" s="14"/>
      <c r="D296" s="14"/>
      <c r="E296" s="14"/>
      <c r="F296" s="14"/>
      <c r="G296" s="14"/>
      <c r="H296" s="19"/>
      <c r="I296" s="19"/>
      <c r="J296" s="19"/>
      <c r="K296" s="19" t="str">
        <f>IF(B296="","",SUMIF('Stock IN'!$C$3:$C$302,B296,'Stock IN'!$F$3:$F$302))</f>
        <v/>
      </c>
      <c r="L296" s="19" t="str">
        <f>IF(B296="","",SUMIF('Stock OUT (Issue)'!$D$3:$D$302,B296,'Stock OUT (Issue)'!$G$3:$G$302))</f>
        <v/>
      </c>
      <c r="M296" s="19" t="str">
        <f t="shared" si="2"/>
        <v/>
      </c>
      <c r="N296" s="20" t="str">
        <f t="shared" si="3"/>
        <v/>
      </c>
      <c r="O296" s="14" t="str">
        <f t="shared" si="4"/>
        <v/>
      </c>
      <c r="P296" s="14"/>
      <c r="Q296" s="14"/>
    </row>
    <row r="297" ht="15.75" customHeight="1">
      <c r="A297" s="14" t="str">
        <f t="shared" si="1"/>
        <v/>
      </c>
      <c r="B297" s="14"/>
      <c r="C297" s="14"/>
      <c r="D297" s="14"/>
      <c r="E297" s="14"/>
      <c r="F297" s="14"/>
      <c r="G297" s="14"/>
      <c r="H297" s="19"/>
      <c r="I297" s="19"/>
      <c r="J297" s="19"/>
      <c r="K297" s="19" t="str">
        <f>IF(B297="","",SUMIF('Stock IN'!$C$3:$C$302,B297,'Stock IN'!$F$3:$F$302))</f>
        <v/>
      </c>
      <c r="L297" s="19" t="str">
        <f>IF(B297="","",SUMIF('Stock OUT (Issue)'!$D$3:$D$302,B297,'Stock OUT (Issue)'!$G$3:$G$302))</f>
        <v/>
      </c>
      <c r="M297" s="19" t="str">
        <f t="shared" si="2"/>
        <v/>
      </c>
      <c r="N297" s="20" t="str">
        <f t="shared" si="3"/>
        <v/>
      </c>
      <c r="O297" s="14" t="str">
        <f t="shared" si="4"/>
        <v/>
      </c>
      <c r="P297" s="14"/>
      <c r="Q297" s="14"/>
    </row>
    <row r="298" ht="15.75" customHeight="1">
      <c r="A298" s="14" t="str">
        <f t="shared" si="1"/>
        <v/>
      </c>
      <c r="B298" s="14"/>
      <c r="C298" s="14"/>
      <c r="D298" s="14"/>
      <c r="E298" s="14"/>
      <c r="F298" s="14"/>
      <c r="G298" s="14"/>
      <c r="H298" s="19"/>
      <c r="I298" s="19"/>
      <c r="J298" s="19"/>
      <c r="K298" s="19" t="str">
        <f>IF(B298="","",SUMIF('Stock IN'!$C$3:$C$302,B298,'Stock IN'!$F$3:$F$302))</f>
        <v/>
      </c>
      <c r="L298" s="19" t="str">
        <f>IF(B298="","",SUMIF('Stock OUT (Issue)'!$D$3:$D$302,B298,'Stock OUT (Issue)'!$G$3:$G$302))</f>
        <v/>
      </c>
      <c r="M298" s="19" t="str">
        <f t="shared" si="2"/>
        <v/>
      </c>
      <c r="N298" s="20" t="str">
        <f t="shared" si="3"/>
        <v/>
      </c>
      <c r="O298" s="14" t="str">
        <f t="shared" si="4"/>
        <v/>
      </c>
      <c r="P298" s="14"/>
      <c r="Q298" s="14"/>
    </row>
    <row r="299" ht="15.75" customHeight="1">
      <c r="A299" s="14" t="str">
        <f t="shared" si="1"/>
        <v/>
      </c>
      <c r="B299" s="14"/>
      <c r="C299" s="14"/>
      <c r="D299" s="14"/>
      <c r="E299" s="14"/>
      <c r="F299" s="14"/>
      <c r="G299" s="14"/>
      <c r="H299" s="19"/>
      <c r="I299" s="19"/>
      <c r="J299" s="19"/>
      <c r="K299" s="19" t="str">
        <f>IF(B299="","",SUMIF('Stock IN'!$C$3:$C$302,B299,'Stock IN'!$F$3:$F$302))</f>
        <v/>
      </c>
      <c r="L299" s="19" t="str">
        <f>IF(B299="","",SUMIF('Stock OUT (Issue)'!$D$3:$D$302,B299,'Stock OUT (Issue)'!$G$3:$G$302))</f>
        <v/>
      </c>
      <c r="M299" s="19" t="str">
        <f t="shared" si="2"/>
        <v/>
      </c>
      <c r="N299" s="20" t="str">
        <f t="shared" si="3"/>
        <v/>
      </c>
      <c r="O299" s="14" t="str">
        <f t="shared" si="4"/>
        <v/>
      </c>
      <c r="P299" s="14"/>
      <c r="Q299" s="14"/>
    </row>
    <row r="300" ht="15.75" customHeight="1">
      <c r="A300" s="14" t="str">
        <f t="shared" si="1"/>
        <v/>
      </c>
      <c r="B300" s="14"/>
      <c r="C300" s="14"/>
      <c r="D300" s="14"/>
      <c r="E300" s="14"/>
      <c r="F300" s="14"/>
      <c r="G300" s="14"/>
      <c r="H300" s="19"/>
      <c r="I300" s="19"/>
      <c r="J300" s="19"/>
      <c r="K300" s="19" t="str">
        <f>IF(B300="","",SUMIF('Stock IN'!$C$3:$C$302,B300,'Stock IN'!$F$3:$F$302))</f>
        <v/>
      </c>
      <c r="L300" s="19" t="str">
        <f>IF(B300="","",SUMIF('Stock OUT (Issue)'!$D$3:$D$302,B300,'Stock OUT (Issue)'!$G$3:$G$302))</f>
        <v/>
      </c>
      <c r="M300" s="19" t="str">
        <f t="shared" si="2"/>
        <v/>
      </c>
      <c r="N300" s="20" t="str">
        <f t="shared" si="3"/>
        <v/>
      </c>
      <c r="O300" s="14" t="str">
        <f t="shared" si="4"/>
        <v/>
      </c>
      <c r="P300" s="14"/>
      <c r="Q300" s="14"/>
    </row>
    <row r="301" ht="15.75" customHeight="1">
      <c r="A301" s="14" t="str">
        <f t="shared" si="1"/>
        <v/>
      </c>
      <c r="B301" s="14"/>
      <c r="C301" s="14"/>
      <c r="D301" s="14"/>
      <c r="E301" s="14"/>
      <c r="F301" s="14"/>
      <c r="G301" s="14"/>
      <c r="H301" s="19"/>
      <c r="I301" s="19"/>
      <c r="J301" s="19"/>
      <c r="K301" s="19" t="str">
        <f>IF(B301="","",SUMIF('Stock IN'!$C$3:$C$302,B301,'Stock IN'!$F$3:$F$302))</f>
        <v/>
      </c>
      <c r="L301" s="19" t="str">
        <f>IF(B301="","",SUMIF('Stock OUT (Issue)'!$D$3:$D$302,B301,'Stock OUT (Issue)'!$G$3:$G$302))</f>
        <v/>
      </c>
      <c r="M301" s="19" t="str">
        <f t="shared" si="2"/>
        <v/>
      </c>
      <c r="N301" s="20" t="str">
        <f t="shared" si="3"/>
        <v/>
      </c>
      <c r="O301" s="14" t="str">
        <f t="shared" si="4"/>
        <v/>
      </c>
      <c r="P301" s="14"/>
      <c r="Q301" s="14"/>
    </row>
    <row r="302" ht="15.75" customHeight="1">
      <c r="A302" s="14" t="str">
        <f t="shared" si="1"/>
        <v/>
      </c>
      <c r="B302" s="14"/>
      <c r="C302" s="14"/>
      <c r="D302" s="14"/>
      <c r="E302" s="14"/>
      <c r="F302" s="14"/>
      <c r="G302" s="14"/>
      <c r="H302" s="19"/>
      <c r="I302" s="19"/>
      <c r="J302" s="19"/>
      <c r="K302" s="19" t="str">
        <f>IF(B302="","",SUMIF('Stock IN'!$C$3:$C$302,B302,'Stock IN'!$F$3:$F$302))</f>
        <v/>
      </c>
      <c r="L302" s="19" t="str">
        <f>IF(B302="","",SUMIF('Stock OUT (Issue)'!$D$3:$D$302,B302,'Stock OUT (Issue)'!$G$3:$G$302))</f>
        <v/>
      </c>
      <c r="M302" s="19" t="str">
        <f t="shared" si="2"/>
        <v/>
      </c>
      <c r="N302" s="20" t="str">
        <f t="shared" si="3"/>
        <v/>
      </c>
      <c r="O302" s="14" t="str">
        <f t="shared" si="4"/>
        <v/>
      </c>
      <c r="P302" s="14"/>
      <c r="Q302" s="14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Q$302"/>
  <mergeCells count="3">
    <mergeCell ref="S2:S3"/>
    <mergeCell ref="T2:T3"/>
    <mergeCell ref="S5:T7"/>
  </mergeCells>
  <conditionalFormatting sqref="M3:M302">
    <cfRule type="expression" dxfId="0" priority="1">
      <formula>AND($B3&lt;&gt;"",$M3&lt;=$I3)</formula>
    </cfRule>
  </conditionalFormatting>
  <conditionalFormatting sqref="O3:O302">
    <cfRule type="expression" dxfId="1" priority="2">
      <formula>$O3="Inactive"</formula>
    </cfRule>
  </conditionalFormatting>
  <conditionalFormatting sqref="A3:Q302">
    <cfRule type="expression" dxfId="2" priority="3">
      <formula>AND($T$2&lt;&gt;"",$B3&lt;&gt;"",OR(ISNUMBER(SEARCH($T$2,$B3)),ISNUMBER(SEARCH($T$2,$C3)),ISNUMBER(SEARCH($T$2,$D3)),ISNUMBER(SEARCH($T$2,$E3)),ISNUMBER(SEARCH($T$2,$F3))))</formula>
    </cfRule>
  </conditionalFormatting>
  <dataValidations>
    <dataValidation type="list" allowBlank="1" sqref="F3:F302">
      <formula1>"Switchgear Parts,Wire,Cable,Lugs &amp; Ferrules,Contactors &amp; Relays,Nut Bolts &amp; Fasteners,Terminal Blocks,Bus Bar,PLC &amp; Automation,HMI &amp; Display,Indicators &amp; Pilot Devices,Cable Glands &amp; Accessories,Panel Hardware,Instrumentation,Consumables,Tools,Other"</formula1>
    </dataValidation>
    <dataValidation type="list" allowBlank="1" sqref="G3:G302">
      <formula1>"Nos,Mtr,Kg,Set,Ltr,Box,Roll,Pair"</formula1>
    </dataValidation>
    <dataValidation type="list" allowBlank="1" sqref="O3:O302">
      <formula1>"Active,Inactive"</formula1>
    </dataValidation>
    <dataValidation type="list" allowBlank="1" sqref="D3:D302">
      <formula1>"Siemens,Schneider Electric,ABB,L&amp;T,Legrand,Havells,Polycab,Finolex,KEI,Dowells,Elmex,OMRON,Mitsubishi,Delta,Anchor,Local/Generic,Other"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6.0"/>
    <col customWidth="1" min="2" max="2" width="12.0"/>
    <col customWidth="1" min="3" max="3" width="13.0"/>
    <col customWidth="1" min="4" max="4" width="32.0"/>
    <col customWidth="1" min="5" max="5" width="8.0"/>
    <col customWidth="1" min="6" max="6" width="10.0"/>
    <col customWidth="1" min="7" max="7" width="26.0"/>
    <col customWidth="1" min="8" max="8" width="18.0"/>
    <col customWidth="1" min="9" max="9" width="16.0"/>
    <col customWidth="1" min="10" max="10" width="24.0"/>
    <col customWidth="1" min="11" max="26" width="8.71"/>
  </cols>
  <sheetData>
    <row r="1">
      <c r="A1" s="3" t="s">
        <v>137</v>
      </c>
    </row>
    <row r="2">
      <c r="A2" s="23" t="s">
        <v>45</v>
      </c>
      <c r="B2" s="23" t="s">
        <v>138</v>
      </c>
      <c r="C2" s="23" t="s">
        <v>60</v>
      </c>
      <c r="D2" s="23" t="s">
        <v>61</v>
      </c>
      <c r="E2" s="23" t="s">
        <v>65</v>
      </c>
      <c r="F2" s="23" t="s">
        <v>139</v>
      </c>
      <c r="G2" s="23" t="s">
        <v>140</v>
      </c>
      <c r="H2" s="23" t="s">
        <v>141</v>
      </c>
      <c r="I2" s="23" t="s">
        <v>142</v>
      </c>
      <c r="J2" s="23" t="s">
        <v>50</v>
      </c>
    </row>
    <row r="3">
      <c r="A3" s="14" t="str">
        <f t="shared" ref="A3:A302" si="1">IF(C3="","",ROW()-2)</f>
        <v/>
      </c>
      <c r="B3" s="24"/>
      <c r="C3" s="14"/>
      <c r="D3" s="14" t="str">
        <f>IF(C3="","",IFERROR(VLOOKUP(C3,'Item Master'!$B$3:$C$302,2,0),"Unknown Code"))</f>
        <v/>
      </c>
      <c r="E3" s="14" t="str">
        <f>IF(C3="","",IFERROR(VLOOKUP(C3,'Item Master'!$B$3:$G$302,6,0),""))</f>
        <v/>
      </c>
      <c r="F3" s="19"/>
      <c r="G3" s="14"/>
      <c r="H3" s="14"/>
      <c r="I3" s="14"/>
      <c r="J3" s="14"/>
    </row>
    <row r="4">
      <c r="A4" s="14" t="str">
        <f t="shared" si="1"/>
        <v/>
      </c>
      <c r="B4" s="24"/>
      <c r="C4" s="14"/>
      <c r="D4" s="14" t="str">
        <f>IF(C4="","",IFERROR(VLOOKUP(C4,'Item Master'!$B$3:$C$302,2,0),"Unknown Code"))</f>
        <v/>
      </c>
      <c r="E4" s="14" t="str">
        <f>IF(C4="","",IFERROR(VLOOKUP(C4,'Item Master'!$B$3:$G$302,6,0),""))</f>
        <v/>
      </c>
      <c r="F4" s="19"/>
      <c r="G4" s="14"/>
      <c r="H4" s="14"/>
      <c r="I4" s="14"/>
      <c r="J4" s="14"/>
    </row>
    <row r="5">
      <c r="A5" s="14" t="str">
        <f t="shared" si="1"/>
        <v/>
      </c>
      <c r="B5" s="24"/>
      <c r="C5" s="14"/>
      <c r="D5" s="14" t="str">
        <f>IF(C5="","",IFERROR(VLOOKUP(C5,'Item Master'!$B$3:$C$302,2,0),"Unknown Code"))</f>
        <v/>
      </c>
      <c r="E5" s="14" t="str">
        <f>IF(C5="","",IFERROR(VLOOKUP(C5,'Item Master'!$B$3:$G$302,6,0),""))</f>
        <v/>
      </c>
      <c r="F5" s="19"/>
      <c r="G5" s="14"/>
      <c r="H5" s="14"/>
      <c r="I5" s="14"/>
      <c r="J5" s="14"/>
    </row>
    <row r="6">
      <c r="A6" s="14" t="str">
        <f t="shared" si="1"/>
        <v/>
      </c>
      <c r="B6" s="24"/>
      <c r="C6" s="14"/>
      <c r="D6" s="14" t="str">
        <f>IF(C6="","",IFERROR(VLOOKUP(C6,'Item Master'!$B$3:$C$302,2,0),"Unknown Code"))</f>
        <v/>
      </c>
      <c r="E6" s="14" t="str">
        <f>IF(C6="","",IFERROR(VLOOKUP(C6,'Item Master'!$B$3:$G$302,6,0),""))</f>
        <v/>
      </c>
      <c r="F6" s="19"/>
      <c r="G6" s="14"/>
      <c r="H6" s="14"/>
      <c r="I6" s="14"/>
      <c r="J6" s="14"/>
    </row>
    <row r="7">
      <c r="A7" s="14" t="str">
        <f t="shared" si="1"/>
        <v/>
      </c>
      <c r="B7" s="24"/>
      <c r="C7" s="14"/>
      <c r="D7" s="14" t="str">
        <f>IF(C7="","",IFERROR(VLOOKUP(C7,'Item Master'!$B$3:$C$302,2,0),"Unknown Code"))</f>
        <v/>
      </c>
      <c r="E7" s="14" t="str">
        <f>IF(C7="","",IFERROR(VLOOKUP(C7,'Item Master'!$B$3:$G$302,6,0),""))</f>
        <v/>
      </c>
      <c r="F7" s="19"/>
      <c r="G7" s="14"/>
      <c r="H7" s="14"/>
      <c r="I7" s="14"/>
      <c r="J7" s="14"/>
    </row>
    <row r="8">
      <c r="A8" s="14" t="str">
        <f t="shared" si="1"/>
        <v/>
      </c>
      <c r="B8" s="24"/>
      <c r="C8" s="14"/>
      <c r="D8" s="14" t="str">
        <f>IF(C8="","",IFERROR(VLOOKUP(C8,'Item Master'!$B$3:$C$302,2,0),"Unknown Code"))</f>
        <v/>
      </c>
      <c r="E8" s="14" t="str">
        <f>IF(C8="","",IFERROR(VLOOKUP(C8,'Item Master'!$B$3:$G$302,6,0),""))</f>
        <v/>
      </c>
      <c r="F8" s="19"/>
      <c r="G8" s="14"/>
      <c r="H8" s="14"/>
      <c r="I8" s="14"/>
      <c r="J8" s="14"/>
    </row>
    <row r="9">
      <c r="A9" s="14" t="str">
        <f t="shared" si="1"/>
        <v/>
      </c>
      <c r="B9" s="24"/>
      <c r="C9" s="14"/>
      <c r="D9" s="14" t="str">
        <f>IF(C9="","",IFERROR(VLOOKUP(C9,'Item Master'!$B$3:$C$302,2,0),"Unknown Code"))</f>
        <v/>
      </c>
      <c r="E9" s="14" t="str">
        <f>IF(C9="","",IFERROR(VLOOKUP(C9,'Item Master'!$B$3:$G$302,6,0),""))</f>
        <v/>
      </c>
      <c r="F9" s="19"/>
      <c r="G9" s="14"/>
      <c r="H9" s="14"/>
      <c r="I9" s="14"/>
      <c r="J9" s="14"/>
    </row>
    <row r="10">
      <c r="A10" s="14" t="str">
        <f t="shared" si="1"/>
        <v/>
      </c>
      <c r="B10" s="24"/>
      <c r="C10" s="14"/>
      <c r="D10" s="14" t="str">
        <f>IF(C10="","",IFERROR(VLOOKUP(C10,'Item Master'!$B$3:$C$302,2,0),"Unknown Code"))</f>
        <v/>
      </c>
      <c r="E10" s="14" t="str">
        <f>IF(C10="","",IFERROR(VLOOKUP(C10,'Item Master'!$B$3:$G$302,6,0),""))</f>
        <v/>
      </c>
      <c r="F10" s="19"/>
      <c r="G10" s="14"/>
      <c r="H10" s="14"/>
      <c r="I10" s="14"/>
      <c r="J10" s="14"/>
    </row>
    <row r="11">
      <c r="A11" s="14" t="str">
        <f t="shared" si="1"/>
        <v/>
      </c>
      <c r="B11" s="24"/>
      <c r="C11" s="14"/>
      <c r="D11" s="14" t="str">
        <f>IF(C11="","",IFERROR(VLOOKUP(C11,'Item Master'!$B$3:$C$302,2,0),"Unknown Code"))</f>
        <v/>
      </c>
      <c r="E11" s="14" t="str">
        <f>IF(C11="","",IFERROR(VLOOKUP(C11,'Item Master'!$B$3:$G$302,6,0),""))</f>
        <v/>
      </c>
      <c r="F11" s="19"/>
      <c r="G11" s="14"/>
      <c r="H11" s="14"/>
      <c r="I11" s="14"/>
      <c r="J11" s="14"/>
    </row>
    <row r="12">
      <c r="A12" s="14" t="str">
        <f t="shared" si="1"/>
        <v/>
      </c>
      <c r="B12" s="24"/>
      <c r="C12" s="14"/>
      <c r="D12" s="14" t="str">
        <f>IF(C12="","",IFERROR(VLOOKUP(C12,'Item Master'!$B$3:$C$302,2,0),"Unknown Code"))</f>
        <v/>
      </c>
      <c r="E12" s="14" t="str">
        <f>IF(C12="","",IFERROR(VLOOKUP(C12,'Item Master'!$B$3:$G$302,6,0),""))</f>
        <v/>
      </c>
      <c r="F12" s="19"/>
      <c r="G12" s="14"/>
      <c r="H12" s="14"/>
      <c r="I12" s="14"/>
      <c r="J12" s="14"/>
    </row>
    <row r="13">
      <c r="A13" s="14" t="str">
        <f t="shared" si="1"/>
        <v/>
      </c>
      <c r="B13" s="24"/>
      <c r="C13" s="14"/>
      <c r="D13" s="14" t="str">
        <f>IF(C13="","",IFERROR(VLOOKUP(C13,'Item Master'!$B$3:$C$302,2,0),"Unknown Code"))</f>
        <v/>
      </c>
      <c r="E13" s="14" t="str">
        <f>IF(C13="","",IFERROR(VLOOKUP(C13,'Item Master'!$B$3:$G$302,6,0),""))</f>
        <v/>
      </c>
      <c r="F13" s="19"/>
      <c r="G13" s="14"/>
      <c r="H13" s="14"/>
      <c r="I13" s="14"/>
      <c r="J13" s="14"/>
    </row>
    <row r="14">
      <c r="A14" s="14" t="str">
        <f t="shared" si="1"/>
        <v/>
      </c>
      <c r="B14" s="24"/>
      <c r="C14" s="14"/>
      <c r="D14" s="14" t="str">
        <f>IF(C14="","",IFERROR(VLOOKUP(C14,'Item Master'!$B$3:$C$302,2,0),"Unknown Code"))</f>
        <v/>
      </c>
      <c r="E14" s="14" t="str">
        <f>IF(C14="","",IFERROR(VLOOKUP(C14,'Item Master'!$B$3:$G$302,6,0),""))</f>
        <v/>
      </c>
      <c r="F14" s="19"/>
      <c r="G14" s="14"/>
      <c r="H14" s="14"/>
      <c r="I14" s="14"/>
      <c r="J14" s="14"/>
    </row>
    <row r="15">
      <c r="A15" s="14" t="str">
        <f t="shared" si="1"/>
        <v/>
      </c>
      <c r="B15" s="24"/>
      <c r="C15" s="14"/>
      <c r="D15" s="14" t="str">
        <f>IF(C15="","",IFERROR(VLOOKUP(C15,'Item Master'!$B$3:$C$302,2,0),"Unknown Code"))</f>
        <v/>
      </c>
      <c r="E15" s="14" t="str">
        <f>IF(C15="","",IFERROR(VLOOKUP(C15,'Item Master'!$B$3:$G$302,6,0),""))</f>
        <v/>
      </c>
      <c r="F15" s="19"/>
      <c r="G15" s="14"/>
      <c r="H15" s="14"/>
      <c r="I15" s="14"/>
      <c r="J15" s="14"/>
    </row>
    <row r="16">
      <c r="A16" s="14" t="str">
        <f t="shared" si="1"/>
        <v/>
      </c>
      <c r="B16" s="24"/>
      <c r="C16" s="14"/>
      <c r="D16" s="14" t="str">
        <f>IF(C16="","",IFERROR(VLOOKUP(C16,'Item Master'!$B$3:$C$302,2,0),"Unknown Code"))</f>
        <v/>
      </c>
      <c r="E16" s="14" t="str">
        <f>IF(C16="","",IFERROR(VLOOKUP(C16,'Item Master'!$B$3:$G$302,6,0),""))</f>
        <v/>
      </c>
      <c r="F16" s="19"/>
      <c r="G16" s="14"/>
      <c r="H16" s="14"/>
      <c r="I16" s="14"/>
      <c r="J16" s="14"/>
    </row>
    <row r="17">
      <c r="A17" s="14" t="str">
        <f t="shared" si="1"/>
        <v/>
      </c>
      <c r="B17" s="24"/>
      <c r="C17" s="14"/>
      <c r="D17" s="14" t="str">
        <f>IF(C17="","",IFERROR(VLOOKUP(C17,'Item Master'!$B$3:$C$302,2,0),"Unknown Code"))</f>
        <v/>
      </c>
      <c r="E17" s="14" t="str">
        <f>IF(C17="","",IFERROR(VLOOKUP(C17,'Item Master'!$B$3:$G$302,6,0),""))</f>
        <v/>
      </c>
      <c r="F17" s="19"/>
      <c r="G17" s="14"/>
      <c r="H17" s="14"/>
      <c r="I17" s="14"/>
      <c r="J17" s="14"/>
    </row>
    <row r="18">
      <c r="A18" s="14" t="str">
        <f t="shared" si="1"/>
        <v/>
      </c>
      <c r="B18" s="24"/>
      <c r="C18" s="14"/>
      <c r="D18" s="14" t="str">
        <f>IF(C18="","",IFERROR(VLOOKUP(C18,'Item Master'!$B$3:$C$302,2,0),"Unknown Code"))</f>
        <v/>
      </c>
      <c r="E18" s="14" t="str">
        <f>IF(C18="","",IFERROR(VLOOKUP(C18,'Item Master'!$B$3:$G$302,6,0),""))</f>
        <v/>
      </c>
      <c r="F18" s="19"/>
      <c r="G18" s="14"/>
      <c r="H18" s="14"/>
      <c r="I18" s="14"/>
      <c r="J18" s="14"/>
    </row>
    <row r="19">
      <c r="A19" s="14" t="str">
        <f t="shared" si="1"/>
        <v/>
      </c>
      <c r="B19" s="24"/>
      <c r="C19" s="14"/>
      <c r="D19" s="14" t="str">
        <f>IF(C19="","",IFERROR(VLOOKUP(C19,'Item Master'!$B$3:$C$302,2,0),"Unknown Code"))</f>
        <v/>
      </c>
      <c r="E19" s="14" t="str">
        <f>IF(C19="","",IFERROR(VLOOKUP(C19,'Item Master'!$B$3:$G$302,6,0),""))</f>
        <v/>
      </c>
      <c r="F19" s="19"/>
      <c r="G19" s="14"/>
      <c r="H19" s="14"/>
      <c r="I19" s="14"/>
      <c r="J19" s="14"/>
    </row>
    <row r="20">
      <c r="A20" s="14" t="str">
        <f t="shared" si="1"/>
        <v/>
      </c>
      <c r="B20" s="24"/>
      <c r="C20" s="14"/>
      <c r="D20" s="14" t="str">
        <f>IF(C20="","",IFERROR(VLOOKUP(C20,'Item Master'!$B$3:$C$302,2,0),"Unknown Code"))</f>
        <v/>
      </c>
      <c r="E20" s="14" t="str">
        <f>IF(C20="","",IFERROR(VLOOKUP(C20,'Item Master'!$B$3:$G$302,6,0),""))</f>
        <v/>
      </c>
      <c r="F20" s="19"/>
      <c r="G20" s="14"/>
      <c r="H20" s="14"/>
      <c r="I20" s="14"/>
      <c r="J20" s="14"/>
    </row>
    <row r="21" ht="15.75" customHeight="1">
      <c r="A21" s="14" t="str">
        <f t="shared" si="1"/>
        <v/>
      </c>
      <c r="B21" s="24"/>
      <c r="C21" s="14"/>
      <c r="D21" s="14" t="str">
        <f>IF(C21="","",IFERROR(VLOOKUP(C21,'Item Master'!$B$3:$C$302,2,0),"Unknown Code"))</f>
        <v/>
      </c>
      <c r="E21" s="14" t="str">
        <f>IF(C21="","",IFERROR(VLOOKUP(C21,'Item Master'!$B$3:$G$302,6,0),""))</f>
        <v/>
      </c>
      <c r="F21" s="19"/>
      <c r="G21" s="14"/>
      <c r="H21" s="14"/>
      <c r="I21" s="14"/>
      <c r="J21" s="14"/>
    </row>
    <row r="22" ht="15.75" customHeight="1">
      <c r="A22" s="14" t="str">
        <f t="shared" si="1"/>
        <v/>
      </c>
      <c r="B22" s="24"/>
      <c r="C22" s="14"/>
      <c r="D22" s="14" t="str">
        <f>IF(C22="","",IFERROR(VLOOKUP(C22,'Item Master'!$B$3:$C$302,2,0),"Unknown Code"))</f>
        <v/>
      </c>
      <c r="E22" s="14" t="str">
        <f>IF(C22="","",IFERROR(VLOOKUP(C22,'Item Master'!$B$3:$G$302,6,0),""))</f>
        <v/>
      </c>
      <c r="F22" s="19"/>
      <c r="G22" s="14"/>
      <c r="H22" s="14"/>
      <c r="I22" s="14"/>
      <c r="J22" s="14"/>
    </row>
    <row r="23" ht="15.75" customHeight="1">
      <c r="A23" s="14" t="str">
        <f t="shared" si="1"/>
        <v/>
      </c>
      <c r="B23" s="24"/>
      <c r="C23" s="14"/>
      <c r="D23" s="14" t="str">
        <f>IF(C23="","",IFERROR(VLOOKUP(C23,'Item Master'!$B$3:$C$302,2,0),"Unknown Code"))</f>
        <v/>
      </c>
      <c r="E23" s="14" t="str">
        <f>IF(C23="","",IFERROR(VLOOKUP(C23,'Item Master'!$B$3:$G$302,6,0),""))</f>
        <v/>
      </c>
      <c r="F23" s="19"/>
      <c r="G23" s="14"/>
      <c r="H23" s="14"/>
      <c r="I23" s="14"/>
      <c r="J23" s="14"/>
    </row>
    <row r="24" ht="15.75" customHeight="1">
      <c r="A24" s="14" t="str">
        <f t="shared" si="1"/>
        <v/>
      </c>
      <c r="B24" s="24"/>
      <c r="C24" s="14"/>
      <c r="D24" s="14" t="str">
        <f>IF(C24="","",IFERROR(VLOOKUP(C24,'Item Master'!$B$3:$C$302,2,0),"Unknown Code"))</f>
        <v/>
      </c>
      <c r="E24" s="14" t="str">
        <f>IF(C24="","",IFERROR(VLOOKUP(C24,'Item Master'!$B$3:$G$302,6,0),""))</f>
        <v/>
      </c>
      <c r="F24" s="19"/>
      <c r="G24" s="14"/>
      <c r="H24" s="14"/>
      <c r="I24" s="14"/>
      <c r="J24" s="14"/>
    </row>
    <row r="25" ht="15.75" customHeight="1">
      <c r="A25" s="14" t="str">
        <f t="shared" si="1"/>
        <v/>
      </c>
      <c r="B25" s="24"/>
      <c r="C25" s="14"/>
      <c r="D25" s="14" t="str">
        <f>IF(C25="","",IFERROR(VLOOKUP(C25,'Item Master'!$B$3:$C$302,2,0),"Unknown Code"))</f>
        <v/>
      </c>
      <c r="E25" s="14" t="str">
        <f>IF(C25="","",IFERROR(VLOOKUP(C25,'Item Master'!$B$3:$G$302,6,0),""))</f>
        <v/>
      </c>
      <c r="F25" s="19"/>
      <c r="G25" s="14"/>
      <c r="H25" s="14"/>
      <c r="I25" s="14"/>
      <c r="J25" s="14"/>
    </row>
    <row r="26" ht="15.75" customHeight="1">
      <c r="A26" s="14" t="str">
        <f t="shared" si="1"/>
        <v/>
      </c>
      <c r="B26" s="24"/>
      <c r="C26" s="14"/>
      <c r="D26" s="14" t="str">
        <f>IF(C26="","",IFERROR(VLOOKUP(C26,'Item Master'!$B$3:$C$302,2,0),"Unknown Code"))</f>
        <v/>
      </c>
      <c r="E26" s="14" t="str">
        <f>IF(C26="","",IFERROR(VLOOKUP(C26,'Item Master'!$B$3:$G$302,6,0),""))</f>
        <v/>
      </c>
      <c r="F26" s="19"/>
      <c r="G26" s="14"/>
      <c r="H26" s="14"/>
      <c r="I26" s="14"/>
      <c r="J26" s="14"/>
    </row>
    <row r="27" ht="15.75" customHeight="1">
      <c r="A27" s="14" t="str">
        <f t="shared" si="1"/>
        <v/>
      </c>
      <c r="B27" s="24"/>
      <c r="C27" s="14"/>
      <c r="D27" s="14" t="str">
        <f>IF(C27="","",IFERROR(VLOOKUP(C27,'Item Master'!$B$3:$C$302,2,0),"Unknown Code"))</f>
        <v/>
      </c>
      <c r="E27" s="14" t="str">
        <f>IF(C27="","",IFERROR(VLOOKUP(C27,'Item Master'!$B$3:$G$302,6,0),""))</f>
        <v/>
      </c>
      <c r="F27" s="19"/>
      <c r="G27" s="14"/>
      <c r="H27" s="14"/>
      <c r="I27" s="14"/>
      <c r="J27" s="14"/>
    </row>
    <row r="28" ht="15.75" customHeight="1">
      <c r="A28" s="14" t="str">
        <f t="shared" si="1"/>
        <v/>
      </c>
      <c r="B28" s="24"/>
      <c r="C28" s="14"/>
      <c r="D28" s="14" t="str">
        <f>IF(C28="","",IFERROR(VLOOKUP(C28,'Item Master'!$B$3:$C$302,2,0),"Unknown Code"))</f>
        <v/>
      </c>
      <c r="E28" s="14" t="str">
        <f>IF(C28="","",IFERROR(VLOOKUP(C28,'Item Master'!$B$3:$G$302,6,0),""))</f>
        <v/>
      </c>
      <c r="F28" s="19"/>
      <c r="G28" s="14"/>
      <c r="H28" s="14"/>
      <c r="I28" s="14"/>
      <c r="J28" s="14"/>
    </row>
    <row r="29" ht="15.75" customHeight="1">
      <c r="A29" s="14" t="str">
        <f t="shared" si="1"/>
        <v/>
      </c>
      <c r="B29" s="24"/>
      <c r="C29" s="14"/>
      <c r="D29" s="14" t="str">
        <f>IF(C29="","",IFERROR(VLOOKUP(C29,'Item Master'!$B$3:$C$302,2,0),"Unknown Code"))</f>
        <v/>
      </c>
      <c r="E29" s="14" t="str">
        <f>IF(C29="","",IFERROR(VLOOKUP(C29,'Item Master'!$B$3:$G$302,6,0),""))</f>
        <v/>
      </c>
      <c r="F29" s="19"/>
      <c r="G29" s="14"/>
      <c r="H29" s="14"/>
      <c r="I29" s="14"/>
      <c r="J29" s="14"/>
    </row>
    <row r="30" ht="15.75" customHeight="1">
      <c r="A30" s="14" t="str">
        <f t="shared" si="1"/>
        <v/>
      </c>
      <c r="B30" s="24"/>
      <c r="C30" s="14"/>
      <c r="D30" s="14" t="str">
        <f>IF(C30="","",IFERROR(VLOOKUP(C30,'Item Master'!$B$3:$C$302,2,0),"Unknown Code"))</f>
        <v/>
      </c>
      <c r="E30" s="14" t="str">
        <f>IF(C30="","",IFERROR(VLOOKUP(C30,'Item Master'!$B$3:$G$302,6,0),""))</f>
        <v/>
      </c>
      <c r="F30" s="19"/>
      <c r="G30" s="14"/>
      <c r="H30" s="14"/>
      <c r="I30" s="14"/>
      <c r="J30" s="14"/>
    </row>
    <row r="31" ht="15.75" customHeight="1">
      <c r="A31" s="14" t="str">
        <f t="shared" si="1"/>
        <v/>
      </c>
      <c r="B31" s="24"/>
      <c r="C31" s="14"/>
      <c r="D31" s="14" t="str">
        <f>IF(C31="","",IFERROR(VLOOKUP(C31,'Item Master'!$B$3:$C$302,2,0),"Unknown Code"))</f>
        <v/>
      </c>
      <c r="E31" s="14" t="str">
        <f>IF(C31="","",IFERROR(VLOOKUP(C31,'Item Master'!$B$3:$G$302,6,0),""))</f>
        <v/>
      </c>
      <c r="F31" s="19"/>
      <c r="G31" s="14"/>
      <c r="H31" s="14"/>
      <c r="I31" s="14"/>
      <c r="J31" s="14"/>
    </row>
    <row r="32" ht="15.75" customHeight="1">
      <c r="A32" s="14" t="str">
        <f t="shared" si="1"/>
        <v/>
      </c>
      <c r="B32" s="24"/>
      <c r="C32" s="14"/>
      <c r="D32" s="14" t="str">
        <f>IF(C32="","",IFERROR(VLOOKUP(C32,'Item Master'!$B$3:$C$302,2,0),"Unknown Code"))</f>
        <v/>
      </c>
      <c r="E32" s="14" t="str">
        <f>IF(C32="","",IFERROR(VLOOKUP(C32,'Item Master'!$B$3:$G$302,6,0),""))</f>
        <v/>
      </c>
      <c r="F32" s="19"/>
      <c r="G32" s="14"/>
      <c r="H32" s="14"/>
      <c r="I32" s="14"/>
      <c r="J32" s="14"/>
    </row>
    <row r="33" ht="15.75" customHeight="1">
      <c r="A33" s="14" t="str">
        <f t="shared" si="1"/>
        <v/>
      </c>
      <c r="B33" s="24"/>
      <c r="C33" s="14"/>
      <c r="D33" s="14" t="str">
        <f>IF(C33="","",IFERROR(VLOOKUP(C33,'Item Master'!$B$3:$C$302,2,0),"Unknown Code"))</f>
        <v/>
      </c>
      <c r="E33" s="14" t="str">
        <f>IF(C33="","",IFERROR(VLOOKUP(C33,'Item Master'!$B$3:$G$302,6,0),""))</f>
        <v/>
      </c>
      <c r="F33" s="19"/>
      <c r="G33" s="14"/>
      <c r="H33" s="14"/>
      <c r="I33" s="14"/>
      <c r="J33" s="14"/>
    </row>
    <row r="34" ht="15.75" customHeight="1">
      <c r="A34" s="14" t="str">
        <f t="shared" si="1"/>
        <v/>
      </c>
      <c r="B34" s="24"/>
      <c r="C34" s="14"/>
      <c r="D34" s="14" t="str">
        <f>IF(C34="","",IFERROR(VLOOKUP(C34,'Item Master'!$B$3:$C$302,2,0),"Unknown Code"))</f>
        <v/>
      </c>
      <c r="E34" s="14" t="str">
        <f>IF(C34="","",IFERROR(VLOOKUP(C34,'Item Master'!$B$3:$G$302,6,0),""))</f>
        <v/>
      </c>
      <c r="F34" s="19"/>
      <c r="G34" s="14"/>
      <c r="H34" s="14"/>
      <c r="I34" s="14"/>
      <c r="J34" s="14"/>
    </row>
    <row r="35" ht="15.75" customHeight="1">
      <c r="A35" s="14" t="str">
        <f t="shared" si="1"/>
        <v/>
      </c>
      <c r="B35" s="24"/>
      <c r="C35" s="14"/>
      <c r="D35" s="14" t="str">
        <f>IF(C35="","",IFERROR(VLOOKUP(C35,'Item Master'!$B$3:$C$302,2,0),"Unknown Code"))</f>
        <v/>
      </c>
      <c r="E35" s="14" t="str">
        <f>IF(C35="","",IFERROR(VLOOKUP(C35,'Item Master'!$B$3:$G$302,6,0),""))</f>
        <v/>
      </c>
      <c r="F35" s="19"/>
      <c r="G35" s="14"/>
      <c r="H35" s="14"/>
      <c r="I35" s="14"/>
      <c r="J35" s="14"/>
    </row>
    <row r="36" ht="15.75" customHeight="1">
      <c r="A36" s="14" t="str">
        <f t="shared" si="1"/>
        <v/>
      </c>
      <c r="B36" s="24"/>
      <c r="C36" s="14"/>
      <c r="D36" s="14" t="str">
        <f>IF(C36="","",IFERROR(VLOOKUP(C36,'Item Master'!$B$3:$C$302,2,0),"Unknown Code"))</f>
        <v/>
      </c>
      <c r="E36" s="14" t="str">
        <f>IF(C36="","",IFERROR(VLOOKUP(C36,'Item Master'!$B$3:$G$302,6,0),""))</f>
        <v/>
      </c>
      <c r="F36" s="19"/>
      <c r="G36" s="14"/>
      <c r="H36" s="14"/>
      <c r="I36" s="14"/>
      <c r="J36" s="14"/>
    </row>
    <row r="37" ht="15.75" customHeight="1">
      <c r="A37" s="14" t="str">
        <f t="shared" si="1"/>
        <v/>
      </c>
      <c r="B37" s="24"/>
      <c r="C37" s="14"/>
      <c r="D37" s="14" t="str">
        <f>IF(C37="","",IFERROR(VLOOKUP(C37,'Item Master'!$B$3:$C$302,2,0),"Unknown Code"))</f>
        <v/>
      </c>
      <c r="E37" s="14" t="str">
        <f>IF(C37="","",IFERROR(VLOOKUP(C37,'Item Master'!$B$3:$G$302,6,0),""))</f>
        <v/>
      </c>
      <c r="F37" s="19"/>
      <c r="G37" s="14"/>
      <c r="H37" s="14"/>
      <c r="I37" s="14"/>
      <c r="J37" s="14"/>
    </row>
    <row r="38" ht="15.75" customHeight="1">
      <c r="A38" s="14" t="str">
        <f t="shared" si="1"/>
        <v/>
      </c>
      <c r="B38" s="24"/>
      <c r="C38" s="14"/>
      <c r="D38" s="14" t="str">
        <f>IF(C38="","",IFERROR(VLOOKUP(C38,'Item Master'!$B$3:$C$302,2,0),"Unknown Code"))</f>
        <v/>
      </c>
      <c r="E38" s="14" t="str">
        <f>IF(C38="","",IFERROR(VLOOKUP(C38,'Item Master'!$B$3:$G$302,6,0),""))</f>
        <v/>
      </c>
      <c r="F38" s="19"/>
      <c r="G38" s="14"/>
      <c r="H38" s="14"/>
      <c r="I38" s="14"/>
      <c r="J38" s="14"/>
    </row>
    <row r="39" ht="15.75" customHeight="1">
      <c r="A39" s="14" t="str">
        <f t="shared" si="1"/>
        <v/>
      </c>
      <c r="B39" s="24"/>
      <c r="C39" s="14"/>
      <c r="D39" s="14" t="str">
        <f>IF(C39="","",IFERROR(VLOOKUP(C39,'Item Master'!$B$3:$C$302,2,0),"Unknown Code"))</f>
        <v/>
      </c>
      <c r="E39" s="14" t="str">
        <f>IF(C39="","",IFERROR(VLOOKUP(C39,'Item Master'!$B$3:$G$302,6,0),""))</f>
        <v/>
      </c>
      <c r="F39" s="19"/>
      <c r="G39" s="14"/>
      <c r="H39" s="14"/>
      <c r="I39" s="14"/>
      <c r="J39" s="14"/>
    </row>
    <row r="40" ht="15.75" customHeight="1">
      <c r="A40" s="14" t="str">
        <f t="shared" si="1"/>
        <v/>
      </c>
      <c r="B40" s="24"/>
      <c r="C40" s="14"/>
      <c r="D40" s="14" t="str">
        <f>IF(C40="","",IFERROR(VLOOKUP(C40,'Item Master'!$B$3:$C$302,2,0),"Unknown Code"))</f>
        <v/>
      </c>
      <c r="E40" s="14" t="str">
        <f>IF(C40="","",IFERROR(VLOOKUP(C40,'Item Master'!$B$3:$G$302,6,0),""))</f>
        <v/>
      </c>
      <c r="F40" s="19"/>
      <c r="G40" s="14"/>
      <c r="H40" s="14"/>
      <c r="I40" s="14"/>
      <c r="J40" s="14"/>
    </row>
    <row r="41" ht="15.75" customHeight="1">
      <c r="A41" s="14" t="str">
        <f t="shared" si="1"/>
        <v/>
      </c>
      <c r="B41" s="24"/>
      <c r="C41" s="14"/>
      <c r="D41" s="14" t="str">
        <f>IF(C41="","",IFERROR(VLOOKUP(C41,'Item Master'!$B$3:$C$302,2,0),"Unknown Code"))</f>
        <v/>
      </c>
      <c r="E41" s="14" t="str">
        <f>IF(C41="","",IFERROR(VLOOKUP(C41,'Item Master'!$B$3:$G$302,6,0),""))</f>
        <v/>
      </c>
      <c r="F41" s="19"/>
      <c r="G41" s="14"/>
      <c r="H41" s="14"/>
      <c r="I41" s="14"/>
      <c r="J41" s="14"/>
    </row>
    <row r="42" ht="15.75" customHeight="1">
      <c r="A42" s="14" t="str">
        <f t="shared" si="1"/>
        <v/>
      </c>
      <c r="B42" s="24"/>
      <c r="C42" s="14"/>
      <c r="D42" s="14" t="str">
        <f>IF(C42="","",IFERROR(VLOOKUP(C42,'Item Master'!$B$3:$C$302,2,0),"Unknown Code"))</f>
        <v/>
      </c>
      <c r="E42" s="14" t="str">
        <f>IF(C42="","",IFERROR(VLOOKUP(C42,'Item Master'!$B$3:$G$302,6,0),""))</f>
        <v/>
      </c>
      <c r="F42" s="19"/>
      <c r="G42" s="14"/>
      <c r="H42" s="14"/>
      <c r="I42" s="14"/>
      <c r="J42" s="14"/>
    </row>
    <row r="43" ht="15.75" customHeight="1">
      <c r="A43" s="14" t="str">
        <f t="shared" si="1"/>
        <v/>
      </c>
      <c r="B43" s="24"/>
      <c r="C43" s="14"/>
      <c r="D43" s="14" t="str">
        <f>IF(C43="","",IFERROR(VLOOKUP(C43,'Item Master'!$B$3:$C$302,2,0),"Unknown Code"))</f>
        <v/>
      </c>
      <c r="E43" s="14" t="str">
        <f>IF(C43="","",IFERROR(VLOOKUP(C43,'Item Master'!$B$3:$G$302,6,0),""))</f>
        <v/>
      </c>
      <c r="F43" s="19"/>
      <c r="G43" s="14"/>
      <c r="H43" s="14"/>
      <c r="I43" s="14"/>
      <c r="J43" s="14"/>
    </row>
    <row r="44" ht="15.75" customHeight="1">
      <c r="A44" s="14" t="str">
        <f t="shared" si="1"/>
        <v/>
      </c>
      <c r="B44" s="24"/>
      <c r="C44" s="14"/>
      <c r="D44" s="14" t="str">
        <f>IF(C44="","",IFERROR(VLOOKUP(C44,'Item Master'!$B$3:$C$302,2,0),"Unknown Code"))</f>
        <v/>
      </c>
      <c r="E44" s="14" t="str">
        <f>IF(C44="","",IFERROR(VLOOKUP(C44,'Item Master'!$B$3:$G$302,6,0),""))</f>
        <v/>
      </c>
      <c r="F44" s="19"/>
      <c r="G44" s="14"/>
      <c r="H44" s="14"/>
      <c r="I44" s="14"/>
      <c r="J44" s="14"/>
    </row>
    <row r="45" ht="15.75" customHeight="1">
      <c r="A45" s="14" t="str">
        <f t="shared" si="1"/>
        <v/>
      </c>
      <c r="B45" s="24"/>
      <c r="C45" s="14"/>
      <c r="D45" s="14" t="str">
        <f>IF(C45="","",IFERROR(VLOOKUP(C45,'Item Master'!$B$3:$C$302,2,0),"Unknown Code"))</f>
        <v/>
      </c>
      <c r="E45" s="14" t="str">
        <f>IF(C45="","",IFERROR(VLOOKUP(C45,'Item Master'!$B$3:$G$302,6,0),""))</f>
        <v/>
      </c>
      <c r="F45" s="19"/>
      <c r="G45" s="14"/>
      <c r="H45" s="14"/>
      <c r="I45" s="14"/>
      <c r="J45" s="14"/>
    </row>
    <row r="46" ht="15.75" customHeight="1">
      <c r="A46" s="14" t="str">
        <f t="shared" si="1"/>
        <v/>
      </c>
      <c r="B46" s="24"/>
      <c r="C46" s="14"/>
      <c r="D46" s="14" t="str">
        <f>IF(C46="","",IFERROR(VLOOKUP(C46,'Item Master'!$B$3:$C$302,2,0),"Unknown Code"))</f>
        <v/>
      </c>
      <c r="E46" s="14" t="str">
        <f>IF(C46="","",IFERROR(VLOOKUP(C46,'Item Master'!$B$3:$G$302,6,0),""))</f>
        <v/>
      </c>
      <c r="F46" s="19"/>
      <c r="G46" s="14"/>
      <c r="H46" s="14"/>
      <c r="I46" s="14"/>
      <c r="J46" s="14"/>
    </row>
    <row r="47" ht="15.75" customHeight="1">
      <c r="A47" s="14" t="str">
        <f t="shared" si="1"/>
        <v/>
      </c>
      <c r="B47" s="24"/>
      <c r="C47" s="14"/>
      <c r="D47" s="14" t="str">
        <f>IF(C47="","",IFERROR(VLOOKUP(C47,'Item Master'!$B$3:$C$302,2,0),"Unknown Code"))</f>
        <v/>
      </c>
      <c r="E47" s="14" t="str">
        <f>IF(C47="","",IFERROR(VLOOKUP(C47,'Item Master'!$B$3:$G$302,6,0),""))</f>
        <v/>
      </c>
      <c r="F47" s="19"/>
      <c r="G47" s="14"/>
      <c r="H47" s="14"/>
      <c r="I47" s="14"/>
      <c r="J47" s="14"/>
    </row>
    <row r="48" ht="15.75" customHeight="1">
      <c r="A48" s="14" t="str">
        <f t="shared" si="1"/>
        <v/>
      </c>
      <c r="B48" s="24"/>
      <c r="C48" s="14"/>
      <c r="D48" s="14" t="str">
        <f>IF(C48="","",IFERROR(VLOOKUP(C48,'Item Master'!$B$3:$C$302,2,0),"Unknown Code"))</f>
        <v/>
      </c>
      <c r="E48" s="14" t="str">
        <f>IF(C48="","",IFERROR(VLOOKUP(C48,'Item Master'!$B$3:$G$302,6,0),""))</f>
        <v/>
      </c>
      <c r="F48" s="19"/>
      <c r="G48" s="14"/>
      <c r="H48" s="14"/>
      <c r="I48" s="14"/>
      <c r="J48" s="14"/>
    </row>
    <row r="49" ht="15.75" customHeight="1">
      <c r="A49" s="14" t="str">
        <f t="shared" si="1"/>
        <v/>
      </c>
      <c r="B49" s="24"/>
      <c r="C49" s="14"/>
      <c r="D49" s="14" t="str">
        <f>IF(C49="","",IFERROR(VLOOKUP(C49,'Item Master'!$B$3:$C$302,2,0),"Unknown Code"))</f>
        <v/>
      </c>
      <c r="E49" s="14" t="str">
        <f>IF(C49="","",IFERROR(VLOOKUP(C49,'Item Master'!$B$3:$G$302,6,0),""))</f>
        <v/>
      </c>
      <c r="F49" s="19"/>
      <c r="G49" s="14"/>
      <c r="H49" s="14"/>
      <c r="I49" s="14"/>
      <c r="J49" s="14"/>
    </row>
    <row r="50" ht="15.75" customHeight="1">
      <c r="A50" s="14" t="str">
        <f t="shared" si="1"/>
        <v/>
      </c>
      <c r="B50" s="24"/>
      <c r="C50" s="14"/>
      <c r="D50" s="14" t="str">
        <f>IF(C50="","",IFERROR(VLOOKUP(C50,'Item Master'!$B$3:$C$302,2,0),"Unknown Code"))</f>
        <v/>
      </c>
      <c r="E50" s="14" t="str">
        <f>IF(C50="","",IFERROR(VLOOKUP(C50,'Item Master'!$B$3:$G$302,6,0),""))</f>
        <v/>
      </c>
      <c r="F50" s="19"/>
      <c r="G50" s="14"/>
      <c r="H50" s="14"/>
      <c r="I50" s="14"/>
      <c r="J50" s="14"/>
    </row>
    <row r="51" ht="15.75" customHeight="1">
      <c r="A51" s="14" t="str">
        <f t="shared" si="1"/>
        <v/>
      </c>
      <c r="B51" s="24"/>
      <c r="C51" s="14"/>
      <c r="D51" s="14" t="str">
        <f>IF(C51="","",IFERROR(VLOOKUP(C51,'Item Master'!$B$3:$C$302,2,0),"Unknown Code"))</f>
        <v/>
      </c>
      <c r="E51" s="14" t="str">
        <f>IF(C51="","",IFERROR(VLOOKUP(C51,'Item Master'!$B$3:$G$302,6,0),""))</f>
        <v/>
      </c>
      <c r="F51" s="19"/>
      <c r="G51" s="14"/>
      <c r="H51" s="14"/>
      <c r="I51" s="14"/>
      <c r="J51" s="14"/>
    </row>
    <row r="52" ht="15.75" customHeight="1">
      <c r="A52" s="14" t="str">
        <f t="shared" si="1"/>
        <v/>
      </c>
      <c r="B52" s="24"/>
      <c r="C52" s="14"/>
      <c r="D52" s="14" t="str">
        <f>IF(C52="","",IFERROR(VLOOKUP(C52,'Item Master'!$B$3:$C$302,2,0),"Unknown Code"))</f>
        <v/>
      </c>
      <c r="E52" s="14" t="str">
        <f>IF(C52="","",IFERROR(VLOOKUP(C52,'Item Master'!$B$3:$G$302,6,0),""))</f>
        <v/>
      </c>
      <c r="F52" s="19"/>
      <c r="G52" s="14"/>
      <c r="H52" s="14"/>
      <c r="I52" s="14"/>
      <c r="J52" s="14"/>
    </row>
    <row r="53" ht="15.75" customHeight="1">
      <c r="A53" s="14" t="str">
        <f t="shared" si="1"/>
        <v/>
      </c>
      <c r="B53" s="24"/>
      <c r="C53" s="14"/>
      <c r="D53" s="14" t="str">
        <f>IF(C53="","",IFERROR(VLOOKUP(C53,'Item Master'!$B$3:$C$302,2,0),"Unknown Code"))</f>
        <v/>
      </c>
      <c r="E53" s="14" t="str">
        <f>IF(C53="","",IFERROR(VLOOKUP(C53,'Item Master'!$B$3:$G$302,6,0),""))</f>
        <v/>
      </c>
      <c r="F53" s="19"/>
      <c r="G53" s="14"/>
      <c r="H53" s="14"/>
      <c r="I53" s="14"/>
      <c r="J53" s="14"/>
    </row>
    <row r="54" ht="15.75" customHeight="1">
      <c r="A54" s="14" t="str">
        <f t="shared" si="1"/>
        <v/>
      </c>
      <c r="B54" s="24"/>
      <c r="C54" s="14"/>
      <c r="D54" s="14" t="str">
        <f>IF(C54="","",IFERROR(VLOOKUP(C54,'Item Master'!$B$3:$C$302,2,0),"Unknown Code"))</f>
        <v/>
      </c>
      <c r="E54" s="14" t="str">
        <f>IF(C54="","",IFERROR(VLOOKUP(C54,'Item Master'!$B$3:$G$302,6,0),""))</f>
        <v/>
      </c>
      <c r="F54" s="19"/>
      <c r="G54" s="14"/>
      <c r="H54" s="14"/>
      <c r="I54" s="14"/>
      <c r="J54" s="14"/>
    </row>
    <row r="55" ht="15.75" customHeight="1">
      <c r="A55" s="14" t="str">
        <f t="shared" si="1"/>
        <v/>
      </c>
      <c r="B55" s="24"/>
      <c r="C55" s="14"/>
      <c r="D55" s="14" t="str">
        <f>IF(C55="","",IFERROR(VLOOKUP(C55,'Item Master'!$B$3:$C$302,2,0),"Unknown Code"))</f>
        <v/>
      </c>
      <c r="E55" s="14" t="str">
        <f>IF(C55="","",IFERROR(VLOOKUP(C55,'Item Master'!$B$3:$G$302,6,0),""))</f>
        <v/>
      </c>
      <c r="F55" s="19"/>
      <c r="G55" s="14"/>
      <c r="H55" s="14"/>
      <c r="I55" s="14"/>
      <c r="J55" s="14"/>
    </row>
    <row r="56" ht="15.75" customHeight="1">
      <c r="A56" s="14" t="str">
        <f t="shared" si="1"/>
        <v/>
      </c>
      <c r="B56" s="24"/>
      <c r="C56" s="14"/>
      <c r="D56" s="14" t="str">
        <f>IF(C56="","",IFERROR(VLOOKUP(C56,'Item Master'!$B$3:$C$302,2,0),"Unknown Code"))</f>
        <v/>
      </c>
      <c r="E56" s="14" t="str">
        <f>IF(C56="","",IFERROR(VLOOKUP(C56,'Item Master'!$B$3:$G$302,6,0),""))</f>
        <v/>
      </c>
      <c r="F56" s="19"/>
      <c r="G56" s="14"/>
      <c r="H56" s="14"/>
      <c r="I56" s="14"/>
      <c r="J56" s="14"/>
    </row>
    <row r="57" ht="15.75" customHeight="1">
      <c r="A57" s="14" t="str">
        <f t="shared" si="1"/>
        <v/>
      </c>
      <c r="B57" s="24"/>
      <c r="C57" s="14"/>
      <c r="D57" s="14" t="str">
        <f>IF(C57="","",IFERROR(VLOOKUP(C57,'Item Master'!$B$3:$C$302,2,0),"Unknown Code"))</f>
        <v/>
      </c>
      <c r="E57" s="14" t="str">
        <f>IF(C57="","",IFERROR(VLOOKUP(C57,'Item Master'!$B$3:$G$302,6,0),""))</f>
        <v/>
      </c>
      <c r="F57" s="19"/>
      <c r="G57" s="14"/>
      <c r="H57" s="14"/>
      <c r="I57" s="14"/>
      <c r="J57" s="14"/>
    </row>
    <row r="58" ht="15.75" customHeight="1">
      <c r="A58" s="14" t="str">
        <f t="shared" si="1"/>
        <v/>
      </c>
      <c r="B58" s="24"/>
      <c r="C58" s="14"/>
      <c r="D58" s="14" t="str">
        <f>IF(C58="","",IFERROR(VLOOKUP(C58,'Item Master'!$B$3:$C$302,2,0),"Unknown Code"))</f>
        <v/>
      </c>
      <c r="E58" s="14" t="str">
        <f>IF(C58="","",IFERROR(VLOOKUP(C58,'Item Master'!$B$3:$G$302,6,0),""))</f>
        <v/>
      </c>
      <c r="F58" s="19"/>
      <c r="G58" s="14"/>
      <c r="H58" s="14"/>
      <c r="I58" s="14"/>
      <c r="J58" s="14"/>
    </row>
    <row r="59" ht="15.75" customHeight="1">
      <c r="A59" s="14" t="str">
        <f t="shared" si="1"/>
        <v/>
      </c>
      <c r="B59" s="24"/>
      <c r="C59" s="14"/>
      <c r="D59" s="14" t="str">
        <f>IF(C59="","",IFERROR(VLOOKUP(C59,'Item Master'!$B$3:$C$302,2,0),"Unknown Code"))</f>
        <v/>
      </c>
      <c r="E59" s="14" t="str">
        <f>IF(C59="","",IFERROR(VLOOKUP(C59,'Item Master'!$B$3:$G$302,6,0),""))</f>
        <v/>
      </c>
      <c r="F59" s="19"/>
      <c r="G59" s="14"/>
      <c r="H59" s="14"/>
      <c r="I59" s="14"/>
      <c r="J59" s="14"/>
    </row>
    <row r="60" ht="15.75" customHeight="1">
      <c r="A60" s="14" t="str">
        <f t="shared" si="1"/>
        <v/>
      </c>
      <c r="B60" s="24"/>
      <c r="C60" s="14"/>
      <c r="D60" s="14" t="str">
        <f>IF(C60="","",IFERROR(VLOOKUP(C60,'Item Master'!$B$3:$C$302,2,0),"Unknown Code"))</f>
        <v/>
      </c>
      <c r="E60" s="14" t="str">
        <f>IF(C60="","",IFERROR(VLOOKUP(C60,'Item Master'!$B$3:$G$302,6,0),""))</f>
        <v/>
      </c>
      <c r="F60" s="19"/>
      <c r="G60" s="14"/>
      <c r="H60" s="14"/>
      <c r="I60" s="14"/>
      <c r="J60" s="14"/>
    </row>
    <row r="61" ht="15.75" customHeight="1">
      <c r="A61" s="14" t="str">
        <f t="shared" si="1"/>
        <v/>
      </c>
      <c r="B61" s="24"/>
      <c r="C61" s="14"/>
      <c r="D61" s="14" t="str">
        <f>IF(C61="","",IFERROR(VLOOKUP(C61,'Item Master'!$B$3:$C$302,2,0),"Unknown Code"))</f>
        <v/>
      </c>
      <c r="E61" s="14" t="str">
        <f>IF(C61="","",IFERROR(VLOOKUP(C61,'Item Master'!$B$3:$G$302,6,0),""))</f>
        <v/>
      </c>
      <c r="F61" s="19"/>
      <c r="G61" s="14"/>
      <c r="H61" s="14"/>
      <c r="I61" s="14"/>
      <c r="J61" s="14"/>
    </row>
    <row r="62" ht="15.75" customHeight="1">
      <c r="A62" s="14" t="str">
        <f t="shared" si="1"/>
        <v/>
      </c>
      <c r="B62" s="24"/>
      <c r="C62" s="14"/>
      <c r="D62" s="14" t="str">
        <f>IF(C62="","",IFERROR(VLOOKUP(C62,'Item Master'!$B$3:$C$302,2,0),"Unknown Code"))</f>
        <v/>
      </c>
      <c r="E62" s="14" t="str">
        <f>IF(C62="","",IFERROR(VLOOKUP(C62,'Item Master'!$B$3:$G$302,6,0),""))</f>
        <v/>
      </c>
      <c r="F62" s="19"/>
      <c r="G62" s="14"/>
      <c r="H62" s="14"/>
      <c r="I62" s="14"/>
      <c r="J62" s="14"/>
    </row>
    <row r="63" ht="15.75" customHeight="1">
      <c r="A63" s="14" t="str">
        <f t="shared" si="1"/>
        <v/>
      </c>
      <c r="B63" s="24"/>
      <c r="C63" s="14"/>
      <c r="D63" s="14" t="str">
        <f>IF(C63="","",IFERROR(VLOOKUP(C63,'Item Master'!$B$3:$C$302,2,0),"Unknown Code"))</f>
        <v/>
      </c>
      <c r="E63" s="14" t="str">
        <f>IF(C63="","",IFERROR(VLOOKUP(C63,'Item Master'!$B$3:$G$302,6,0),""))</f>
        <v/>
      </c>
      <c r="F63" s="19"/>
      <c r="G63" s="14"/>
      <c r="H63" s="14"/>
      <c r="I63" s="14"/>
      <c r="J63" s="14"/>
    </row>
    <row r="64" ht="15.75" customHeight="1">
      <c r="A64" s="14" t="str">
        <f t="shared" si="1"/>
        <v/>
      </c>
      <c r="B64" s="24"/>
      <c r="C64" s="14"/>
      <c r="D64" s="14" t="str">
        <f>IF(C64="","",IFERROR(VLOOKUP(C64,'Item Master'!$B$3:$C$302,2,0),"Unknown Code"))</f>
        <v/>
      </c>
      <c r="E64" s="14" t="str">
        <f>IF(C64="","",IFERROR(VLOOKUP(C64,'Item Master'!$B$3:$G$302,6,0),""))</f>
        <v/>
      </c>
      <c r="F64" s="19"/>
      <c r="G64" s="14"/>
      <c r="H64" s="14"/>
      <c r="I64" s="14"/>
      <c r="J64" s="14"/>
    </row>
    <row r="65" ht="15.75" customHeight="1">
      <c r="A65" s="14" t="str">
        <f t="shared" si="1"/>
        <v/>
      </c>
      <c r="B65" s="24"/>
      <c r="C65" s="14"/>
      <c r="D65" s="14" t="str">
        <f>IF(C65="","",IFERROR(VLOOKUP(C65,'Item Master'!$B$3:$C$302,2,0),"Unknown Code"))</f>
        <v/>
      </c>
      <c r="E65" s="14" t="str">
        <f>IF(C65="","",IFERROR(VLOOKUP(C65,'Item Master'!$B$3:$G$302,6,0),""))</f>
        <v/>
      </c>
      <c r="F65" s="19"/>
      <c r="G65" s="14"/>
      <c r="H65" s="14"/>
      <c r="I65" s="14"/>
      <c r="J65" s="14"/>
    </row>
    <row r="66" ht="15.75" customHeight="1">
      <c r="A66" s="14" t="str">
        <f t="shared" si="1"/>
        <v/>
      </c>
      <c r="B66" s="24"/>
      <c r="C66" s="14"/>
      <c r="D66" s="14" t="str">
        <f>IF(C66="","",IFERROR(VLOOKUP(C66,'Item Master'!$B$3:$C$302,2,0),"Unknown Code"))</f>
        <v/>
      </c>
      <c r="E66" s="14" t="str">
        <f>IF(C66="","",IFERROR(VLOOKUP(C66,'Item Master'!$B$3:$G$302,6,0),""))</f>
        <v/>
      </c>
      <c r="F66" s="19"/>
      <c r="G66" s="14"/>
      <c r="H66" s="14"/>
      <c r="I66" s="14"/>
      <c r="J66" s="14"/>
    </row>
    <row r="67" ht="15.75" customHeight="1">
      <c r="A67" s="14" t="str">
        <f t="shared" si="1"/>
        <v/>
      </c>
      <c r="B67" s="24"/>
      <c r="C67" s="14"/>
      <c r="D67" s="14" t="str">
        <f>IF(C67="","",IFERROR(VLOOKUP(C67,'Item Master'!$B$3:$C$302,2,0),"Unknown Code"))</f>
        <v/>
      </c>
      <c r="E67" s="14" t="str">
        <f>IF(C67="","",IFERROR(VLOOKUP(C67,'Item Master'!$B$3:$G$302,6,0),""))</f>
        <v/>
      </c>
      <c r="F67" s="19"/>
      <c r="G67" s="14"/>
      <c r="H67" s="14"/>
      <c r="I67" s="14"/>
      <c r="J67" s="14"/>
    </row>
    <row r="68" ht="15.75" customHeight="1">
      <c r="A68" s="14" t="str">
        <f t="shared" si="1"/>
        <v/>
      </c>
      <c r="B68" s="24"/>
      <c r="C68" s="14"/>
      <c r="D68" s="14" t="str">
        <f>IF(C68="","",IFERROR(VLOOKUP(C68,'Item Master'!$B$3:$C$302,2,0),"Unknown Code"))</f>
        <v/>
      </c>
      <c r="E68" s="14" t="str">
        <f>IF(C68="","",IFERROR(VLOOKUP(C68,'Item Master'!$B$3:$G$302,6,0),""))</f>
        <v/>
      </c>
      <c r="F68" s="19"/>
      <c r="G68" s="14"/>
      <c r="H68" s="14"/>
      <c r="I68" s="14"/>
      <c r="J68" s="14"/>
    </row>
    <row r="69" ht="15.75" customHeight="1">
      <c r="A69" s="14" t="str">
        <f t="shared" si="1"/>
        <v/>
      </c>
      <c r="B69" s="24"/>
      <c r="C69" s="14"/>
      <c r="D69" s="14" t="str">
        <f>IF(C69="","",IFERROR(VLOOKUP(C69,'Item Master'!$B$3:$C$302,2,0),"Unknown Code"))</f>
        <v/>
      </c>
      <c r="E69" s="14" t="str">
        <f>IF(C69="","",IFERROR(VLOOKUP(C69,'Item Master'!$B$3:$G$302,6,0),""))</f>
        <v/>
      </c>
      <c r="F69" s="19"/>
      <c r="G69" s="14"/>
      <c r="H69" s="14"/>
      <c r="I69" s="14"/>
      <c r="J69" s="14"/>
    </row>
    <row r="70" ht="15.75" customHeight="1">
      <c r="A70" s="14" t="str">
        <f t="shared" si="1"/>
        <v/>
      </c>
      <c r="B70" s="24"/>
      <c r="C70" s="14"/>
      <c r="D70" s="14" t="str">
        <f>IF(C70="","",IFERROR(VLOOKUP(C70,'Item Master'!$B$3:$C$302,2,0),"Unknown Code"))</f>
        <v/>
      </c>
      <c r="E70" s="14" t="str">
        <f>IF(C70="","",IFERROR(VLOOKUP(C70,'Item Master'!$B$3:$G$302,6,0),""))</f>
        <v/>
      </c>
      <c r="F70" s="19"/>
      <c r="G70" s="14"/>
      <c r="H70" s="14"/>
      <c r="I70" s="14"/>
      <c r="J70" s="14"/>
    </row>
    <row r="71" ht="15.75" customHeight="1">
      <c r="A71" s="14" t="str">
        <f t="shared" si="1"/>
        <v/>
      </c>
      <c r="B71" s="24"/>
      <c r="C71" s="14"/>
      <c r="D71" s="14" t="str">
        <f>IF(C71="","",IFERROR(VLOOKUP(C71,'Item Master'!$B$3:$C$302,2,0),"Unknown Code"))</f>
        <v/>
      </c>
      <c r="E71" s="14" t="str">
        <f>IF(C71="","",IFERROR(VLOOKUP(C71,'Item Master'!$B$3:$G$302,6,0),""))</f>
        <v/>
      </c>
      <c r="F71" s="19"/>
      <c r="G71" s="14"/>
      <c r="H71" s="14"/>
      <c r="I71" s="14"/>
      <c r="J71" s="14"/>
    </row>
    <row r="72" ht="15.75" customHeight="1">
      <c r="A72" s="14" t="str">
        <f t="shared" si="1"/>
        <v/>
      </c>
      <c r="B72" s="24"/>
      <c r="C72" s="14"/>
      <c r="D72" s="14" t="str">
        <f>IF(C72="","",IFERROR(VLOOKUP(C72,'Item Master'!$B$3:$C$302,2,0),"Unknown Code"))</f>
        <v/>
      </c>
      <c r="E72" s="14" t="str">
        <f>IF(C72="","",IFERROR(VLOOKUP(C72,'Item Master'!$B$3:$G$302,6,0),""))</f>
        <v/>
      </c>
      <c r="F72" s="19"/>
      <c r="G72" s="14"/>
      <c r="H72" s="14"/>
      <c r="I72" s="14"/>
      <c r="J72" s="14"/>
    </row>
    <row r="73" ht="15.75" customHeight="1">
      <c r="A73" s="14" t="str">
        <f t="shared" si="1"/>
        <v/>
      </c>
      <c r="B73" s="24"/>
      <c r="C73" s="14"/>
      <c r="D73" s="14" t="str">
        <f>IF(C73="","",IFERROR(VLOOKUP(C73,'Item Master'!$B$3:$C$302,2,0),"Unknown Code"))</f>
        <v/>
      </c>
      <c r="E73" s="14" t="str">
        <f>IF(C73="","",IFERROR(VLOOKUP(C73,'Item Master'!$B$3:$G$302,6,0),""))</f>
        <v/>
      </c>
      <c r="F73" s="19"/>
      <c r="G73" s="14"/>
      <c r="H73" s="14"/>
      <c r="I73" s="14"/>
      <c r="J73" s="14"/>
    </row>
    <row r="74" ht="15.75" customHeight="1">
      <c r="A74" s="14" t="str">
        <f t="shared" si="1"/>
        <v/>
      </c>
      <c r="B74" s="24"/>
      <c r="C74" s="14"/>
      <c r="D74" s="14" t="str">
        <f>IF(C74="","",IFERROR(VLOOKUP(C74,'Item Master'!$B$3:$C$302,2,0),"Unknown Code"))</f>
        <v/>
      </c>
      <c r="E74" s="14" t="str">
        <f>IF(C74="","",IFERROR(VLOOKUP(C74,'Item Master'!$B$3:$G$302,6,0),""))</f>
        <v/>
      </c>
      <c r="F74" s="19"/>
      <c r="G74" s="14"/>
      <c r="H74" s="14"/>
      <c r="I74" s="14"/>
      <c r="J74" s="14"/>
    </row>
    <row r="75" ht="15.75" customHeight="1">
      <c r="A75" s="14" t="str">
        <f t="shared" si="1"/>
        <v/>
      </c>
      <c r="B75" s="24"/>
      <c r="C75" s="14"/>
      <c r="D75" s="14" t="str">
        <f>IF(C75="","",IFERROR(VLOOKUP(C75,'Item Master'!$B$3:$C$302,2,0),"Unknown Code"))</f>
        <v/>
      </c>
      <c r="E75" s="14" t="str">
        <f>IF(C75="","",IFERROR(VLOOKUP(C75,'Item Master'!$B$3:$G$302,6,0),""))</f>
        <v/>
      </c>
      <c r="F75" s="19"/>
      <c r="G75" s="14"/>
      <c r="H75" s="14"/>
      <c r="I75" s="14"/>
      <c r="J75" s="14"/>
    </row>
    <row r="76" ht="15.75" customHeight="1">
      <c r="A76" s="14" t="str">
        <f t="shared" si="1"/>
        <v/>
      </c>
      <c r="B76" s="24"/>
      <c r="C76" s="14"/>
      <c r="D76" s="14" t="str">
        <f>IF(C76="","",IFERROR(VLOOKUP(C76,'Item Master'!$B$3:$C$302,2,0),"Unknown Code"))</f>
        <v/>
      </c>
      <c r="E76" s="14" t="str">
        <f>IF(C76="","",IFERROR(VLOOKUP(C76,'Item Master'!$B$3:$G$302,6,0),""))</f>
        <v/>
      </c>
      <c r="F76" s="19"/>
      <c r="G76" s="14"/>
      <c r="H76" s="14"/>
      <c r="I76" s="14"/>
      <c r="J76" s="14"/>
    </row>
    <row r="77" ht="15.75" customHeight="1">
      <c r="A77" s="14" t="str">
        <f t="shared" si="1"/>
        <v/>
      </c>
      <c r="B77" s="24"/>
      <c r="C77" s="14"/>
      <c r="D77" s="14" t="str">
        <f>IF(C77="","",IFERROR(VLOOKUP(C77,'Item Master'!$B$3:$C$302,2,0),"Unknown Code"))</f>
        <v/>
      </c>
      <c r="E77" s="14" t="str">
        <f>IF(C77="","",IFERROR(VLOOKUP(C77,'Item Master'!$B$3:$G$302,6,0),""))</f>
        <v/>
      </c>
      <c r="F77" s="19"/>
      <c r="G77" s="14"/>
      <c r="H77" s="14"/>
      <c r="I77" s="14"/>
      <c r="J77" s="14"/>
    </row>
    <row r="78" ht="15.75" customHeight="1">
      <c r="A78" s="14" t="str">
        <f t="shared" si="1"/>
        <v/>
      </c>
      <c r="B78" s="24"/>
      <c r="C78" s="14"/>
      <c r="D78" s="14" t="str">
        <f>IF(C78="","",IFERROR(VLOOKUP(C78,'Item Master'!$B$3:$C$302,2,0),"Unknown Code"))</f>
        <v/>
      </c>
      <c r="E78" s="14" t="str">
        <f>IF(C78="","",IFERROR(VLOOKUP(C78,'Item Master'!$B$3:$G$302,6,0),""))</f>
        <v/>
      </c>
      <c r="F78" s="19"/>
      <c r="G78" s="14"/>
      <c r="H78" s="14"/>
      <c r="I78" s="14"/>
      <c r="J78" s="14"/>
    </row>
    <row r="79" ht="15.75" customHeight="1">
      <c r="A79" s="14" t="str">
        <f t="shared" si="1"/>
        <v/>
      </c>
      <c r="B79" s="24"/>
      <c r="C79" s="14"/>
      <c r="D79" s="14" t="str">
        <f>IF(C79="","",IFERROR(VLOOKUP(C79,'Item Master'!$B$3:$C$302,2,0),"Unknown Code"))</f>
        <v/>
      </c>
      <c r="E79" s="14" t="str">
        <f>IF(C79="","",IFERROR(VLOOKUP(C79,'Item Master'!$B$3:$G$302,6,0),""))</f>
        <v/>
      </c>
      <c r="F79" s="19"/>
      <c r="G79" s="14"/>
      <c r="H79" s="14"/>
      <c r="I79" s="14"/>
      <c r="J79" s="14"/>
    </row>
    <row r="80" ht="15.75" customHeight="1">
      <c r="A80" s="14" t="str">
        <f t="shared" si="1"/>
        <v/>
      </c>
      <c r="B80" s="24"/>
      <c r="C80" s="14"/>
      <c r="D80" s="14" t="str">
        <f>IF(C80="","",IFERROR(VLOOKUP(C80,'Item Master'!$B$3:$C$302,2,0),"Unknown Code"))</f>
        <v/>
      </c>
      <c r="E80" s="14" t="str">
        <f>IF(C80="","",IFERROR(VLOOKUP(C80,'Item Master'!$B$3:$G$302,6,0),""))</f>
        <v/>
      </c>
      <c r="F80" s="19"/>
      <c r="G80" s="14"/>
      <c r="H80" s="14"/>
      <c r="I80" s="14"/>
      <c r="J80" s="14"/>
    </row>
    <row r="81" ht="15.75" customHeight="1">
      <c r="A81" s="14" t="str">
        <f t="shared" si="1"/>
        <v/>
      </c>
      <c r="B81" s="24"/>
      <c r="C81" s="14"/>
      <c r="D81" s="14" t="str">
        <f>IF(C81="","",IFERROR(VLOOKUP(C81,'Item Master'!$B$3:$C$302,2,0),"Unknown Code"))</f>
        <v/>
      </c>
      <c r="E81" s="14" t="str">
        <f>IF(C81="","",IFERROR(VLOOKUP(C81,'Item Master'!$B$3:$G$302,6,0),""))</f>
        <v/>
      </c>
      <c r="F81" s="19"/>
      <c r="G81" s="14"/>
      <c r="H81" s="14"/>
      <c r="I81" s="14"/>
      <c r="J81" s="14"/>
    </row>
    <row r="82" ht="15.75" customHeight="1">
      <c r="A82" s="14" t="str">
        <f t="shared" si="1"/>
        <v/>
      </c>
      <c r="B82" s="24"/>
      <c r="C82" s="14"/>
      <c r="D82" s="14" t="str">
        <f>IF(C82="","",IFERROR(VLOOKUP(C82,'Item Master'!$B$3:$C$302,2,0),"Unknown Code"))</f>
        <v/>
      </c>
      <c r="E82" s="14" t="str">
        <f>IF(C82="","",IFERROR(VLOOKUP(C82,'Item Master'!$B$3:$G$302,6,0),""))</f>
        <v/>
      </c>
      <c r="F82" s="19"/>
      <c r="G82" s="14"/>
      <c r="H82" s="14"/>
      <c r="I82" s="14"/>
      <c r="J82" s="14"/>
    </row>
    <row r="83" ht="15.75" customHeight="1">
      <c r="A83" s="14" t="str">
        <f t="shared" si="1"/>
        <v/>
      </c>
      <c r="B83" s="24"/>
      <c r="C83" s="14"/>
      <c r="D83" s="14" t="str">
        <f>IF(C83="","",IFERROR(VLOOKUP(C83,'Item Master'!$B$3:$C$302,2,0),"Unknown Code"))</f>
        <v/>
      </c>
      <c r="E83" s="14" t="str">
        <f>IF(C83="","",IFERROR(VLOOKUP(C83,'Item Master'!$B$3:$G$302,6,0),""))</f>
        <v/>
      </c>
      <c r="F83" s="19"/>
      <c r="G83" s="14"/>
      <c r="H83" s="14"/>
      <c r="I83" s="14"/>
      <c r="J83" s="14"/>
    </row>
    <row r="84" ht="15.75" customHeight="1">
      <c r="A84" s="14" t="str">
        <f t="shared" si="1"/>
        <v/>
      </c>
      <c r="B84" s="24"/>
      <c r="C84" s="14"/>
      <c r="D84" s="14" t="str">
        <f>IF(C84="","",IFERROR(VLOOKUP(C84,'Item Master'!$B$3:$C$302,2,0),"Unknown Code"))</f>
        <v/>
      </c>
      <c r="E84" s="14" t="str">
        <f>IF(C84="","",IFERROR(VLOOKUP(C84,'Item Master'!$B$3:$G$302,6,0),""))</f>
        <v/>
      </c>
      <c r="F84" s="19"/>
      <c r="G84" s="14"/>
      <c r="H84" s="14"/>
      <c r="I84" s="14"/>
      <c r="J84" s="14"/>
    </row>
    <row r="85" ht="15.75" customHeight="1">
      <c r="A85" s="14" t="str">
        <f t="shared" si="1"/>
        <v/>
      </c>
      <c r="B85" s="24"/>
      <c r="C85" s="14"/>
      <c r="D85" s="14" t="str">
        <f>IF(C85="","",IFERROR(VLOOKUP(C85,'Item Master'!$B$3:$C$302,2,0),"Unknown Code"))</f>
        <v/>
      </c>
      <c r="E85" s="14" t="str">
        <f>IF(C85="","",IFERROR(VLOOKUP(C85,'Item Master'!$B$3:$G$302,6,0),""))</f>
        <v/>
      </c>
      <c r="F85" s="19"/>
      <c r="G85" s="14"/>
      <c r="H85" s="14"/>
      <c r="I85" s="14"/>
      <c r="J85" s="14"/>
    </row>
    <row r="86" ht="15.75" customHeight="1">
      <c r="A86" s="14" t="str">
        <f t="shared" si="1"/>
        <v/>
      </c>
      <c r="B86" s="24"/>
      <c r="C86" s="14"/>
      <c r="D86" s="14" t="str">
        <f>IF(C86="","",IFERROR(VLOOKUP(C86,'Item Master'!$B$3:$C$302,2,0),"Unknown Code"))</f>
        <v/>
      </c>
      <c r="E86" s="14" t="str">
        <f>IF(C86="","",IFERROR(VLOOKUP(C86,'Item Master'!$B$3:$G$302,6,0),""))</f>
        <v/>
      </c>
      <c r="F86" s="19"/>
      <c r="G86" s="14"/>
      <c r="H86" s="14"/>
      <c r="I86" s="14"/>
      <c r="J86" s="14"/>
    </row>
    <row r="87" ht="15.75" customHeight="1">
      <c r="A87" s="14" t="str">
        <f t="shared" si="1"/>
        <v/>
      </c>
      <c r="B87" s="24"/>
      <c r="C87" s="14"/>
      <c r="D87" s="14" t="str">
        <f>IF(C87="","",IFERROR(VLOOKUP(C87,'Item Master'!$B$3:$C$302,2,0),"Unknown Code"))</f>
        <v/>
      </c>
      <c r="E87" s="14" t="str">
        <f>IF(C87="","",IFERROR(VLOOKUP(C87,'Item Master'!$B$3:$G$302,6,0),""))</f>
        <v/>
      </c>
      <c r="F87" s="19"/>
      <c r="G87" s="14"/>
      <c r="H87" s="14"/>
      <c r="I87" s="14"/>
      <c r="J87" s="14"/>
    </row>
    <row r="88" ht="15.75" customHeight="1">
      <c r="A88" s="14" t="str">
        <f t="shared" si="1"/>
        <v/>
      </c>
      <c r="B88" s="24"/>
      <c r="C88" s="14"/>
      <c r="D88" s="14" t="str">
        <f>IF(C88="","",IFERROR(VLOOKUP(C88,'Item Master'!$B$3:$C$302,2,0),"Unknown Code"))</f>
        <v/>
      </c>
      <c r="E88" s="14" t="str">
        <f>IF(C88="","",IFERROR(VLOOKUP(C88,'Item Master'!$B$3:$G$302,6,0),""))</f>
        <v/>
      </c>
      <c r="F88" s="19"/>
      <c r="G88" s="14"/>
      <c r="H88" s="14"/>
      <c r="I88" s="14"/>
      <c r="J88" s="14"/>
    </row>
    <row r="89" ht="15.75" customHeight="1">
      <c r="A89" s="14" t="str">
        <f t="shared" si="1"/>
        <v/>
      </c>
      <c r="B89" s="24"/>
      <c r="C89" s="14"/>
      <c r="D89" s="14" t="str">
        <f>IF(C89="","",IFERROR(VLOOKUP(C89,'Item Master'!$B$3:$C$302,2,0),"Unknown Code"))</f>
        <v/>
      </c>
      <c r="E89" s="14" t="str">
        <f>IF(C89="","",IFERROR(VLOOKUP(C89,'Item Master'!$B$3:$G$302,6,0),""))</f>
        <v/>
      </c>
      <c r="F89" s="19"/>
      <c r="G89" s="14"/>
      <c r="H89" s="14"/>
      <c r="I89" s="14"/>
      <c r="J89" s="14"/>
    </row>
    <row r="90" ht="15.75" customHeight="1">
      <c r="A90" s="14" t="str">
        <f t="shared" si="1"/>
        <v/>
      </c>
      <c r="B90" s="24"/>
      <c r="C90" s="14"/>
      <c r="D90" s="14" t="str">
        <f>IF(C90="","",IFERROR(VLOOKUP(C90,'Item Master'!$B$3:$C$302,2,0),"Unknown Code"))</f>
        <v/>
      </c>
      <c r="E90" s="14" t="str">
        <f>IF(C90="","",IFERROR(VLOOKUP(C90,'Item Master'!$B$3:$G$302,6,0),""))</f>
        <v/>
      </c>
      <c r="F90" s="19"/>
      <c r="G90" s="14"/>
      <c r="H90" s="14"/>
      <c r="I90" s="14"/>
      <c r="J90" s="14"/>
    </row>
    <row r="91" ht="15.75" customHeight="1">
      <c r="A91" s="14" t="str">
        <f t="shared" si="1"/>
        <v/>
      </c>
      <c r="B91" s="24"/>
      <c r="C91" s="14"/>
      <c r="D91" s="14" t="str">
        <f>IF(C91="","",IFERROR(VLOOKUP(C91,'Item Master'!$B$3:$C$302,2,0),"Unknown Code"))</f>
        <v/>
      </c>
      <c r="E91" s="14" t="str">
        <f>IF(C91="","",IFERROR(VLOOKUP(C91,'Item Master'!$B$3:$G$302,6,0),""))</f>
        <v/>
      </c>
      <c r="F91" s="19"/>
      <c r="G91" s="14"/>
      <c r="H91" s="14"/>
      <c r="I91" s="14"/>
      <c r="J91" s="14"/>
    </row>
    <row r="92" ht="15.75" customHeight="1">
      <c r="A92" s="14" t="str">
        <f t="shared" si="1"/>
        <v/>
      </c>
      <c r="B92" s="24"/>
      <c r="C92" s="14"/>
      <c r="D92" s="14" t="str">
        <f>IF(C92="","",IFERROR(VLOOKUP(C92,'Item Master'!$B$3:$C$302,2,0),"Unknown Code"))</f>
        <v/>
      </c>
      <c r="E92" s="14" t="str">
        <f>IF(C92="","",IFERROR(VLOOKUP(C92,'Item Master'!$B$3:$G$302,6,0),""))</f>
        <v/>
      </c>
      <c r="F92" s="19"/>
      <c r="G92" s="14"/>
      <c r="H92" s="14"/>
      <c r="I92" s="14"/>
      <c r="J92" s="14"/>
    </row>
    <row r="93" ht="15.75" customHeight="1">
      <c r="A93" s="14" t="str">
        <f t="shared" si="1"/>
        <v/>
      </c>
      <c r="B93" s="24"/>
      <c r="C93" s="14"/>
      <c r="D93" s="14" t="str">
        <f>IF(C93="","",IFERROR(VLOOKUP(C93,'Item Master'!$B$3:$C$302,2,0),"Unknown Code"))</f>
        <v/>
      </c>
      <c r="E93" s="14" t="str">
        <f>IF(C93="","",IFERROR(VLOOKUP(C93,'Item Master'!$B$3:$G$302,6,0),""))</f>
        <v/>
      </c>
      <c r="F93" s="19"/>
      <c r="G93" s="14"/>
      <c r="H93" s="14"/>
      <c r="I93" s="14"/>
      <c r="J93" s="14"/>
    </row>
    <row r="94" ht="15.75" customHeight="1">
      <c r="A94" s="14" t="str">
        <f t="shared" si="1"/>
        <v/>
      </c>
      <c r="B94" s="24"/>
      <c r="C94" s="14"/>
      <c r="D94" s="14" t="str">
        <f>IF(C94="","",IFERROR(VLOOKUP(C94,'Item Master'!$B$3:$C$302,2,0),"Unknown Code"))</f>
        <v/>
      </c>
      <c r="E94" s="14" t="str">
        <f>IF(C94="","",IFERROR(VLOOKUP(C94,'Item Master'!$B$3:$G$302,6,0),""))</f>
        <v/>
      </c>
      <c r="F94" s="19"/>
      <c r="G94" s="14"/>
      <c r="H94" s="14"/>
      <c r="I94" s="14"/>
      <c r="J94" s="14"/>
    </row>
    <row r="95" ht="15.75" customHeight="1">
      <c r="A95" s="14" t="str">
        <f t="shared" si="1"/>
        <v/>
      </c>
      <c r="B95" s="24"/>
      <c r="C95" s="14"/>
      <c r="D95" s="14" t="str">
        <f>IF(C95="","",IFERROR(VLOOKUP(C95,'Item Master'!$B$3:$C$302,2,0),"Unknown Code"))</f>
        <v/>
      </c>
      <c r="E95" s="14" t="str">
        <f>IF(C95="","",IFERROR(VLOOKUP(C95,'Item Master'!$B$3:$G$302,6,0),""))</f>
        <v/>
      </c>
      <c r="F95" s="19"/>
      <c r="G95" s="14"/>
      <c r="H95" s="14"/>
      <c r="I95" s="14"/>
      <c r="J95" s="14"/>
    </row>
    <row r="96" ht="15.75" customHeight="1">
      <c r="A96" s="14" t="str">
        <f t="shared" si="1"/>
        <v/>
      </c>
      <c r="B96" s="24"/>
      <c r="C96" s="14"/>
      <c r="D96" s="14" t="str">
        <f>IF(C96="","",IFERROR(VLOOKUP(C96,'Item Master'!$B$3:$C$302,2,0),"Unknown Code"))</f>
        <v/>
      </c>
      <c r="E96" s="14" t="str">
        <f>IF(C96="","",IFERROR(VLOOKUP(C96,'Item Master'!$B$3:$G$302,6,0),""))</f>
        <v/>
      </c>
      <c r="F96" s="19"/>
      <c r="G96" s="14"/>
      <c r="H96" s="14"/>
      <c r="I96" s="14"/>
      <c r="J96" s="14"/>
    </row>
    <row r="97" ht="15.75" customHeight="1">
      <c r="A97" s="14" t="str">
        <f t="shared" si="1"/>
        <v/>
      </c>
      <c r="B97" s="24"/>
      <c r="C97" s="14"/>
      <c r="D97" s="14" t="str">
        <f>IF(C97="","",IFERROR(VLOOKUP(C97,'Item Master'!$B$3:$C$302,2,0),"Unknown Code"))</f>
        <v/>
      </c>
      <c r="E97" s="14" t="str">
        <f>IF(C97="","",IFERROR(VLOOKUP(C97,'Item Master'!$B$3:$G$302,6,0),""))</f>
        <v/>
      </c>
      <c r="F97" s="19"/>
      <c r="G97" s="14"/>
      <c r="H97" s="14"/>
      <c r="I97" s="14"/>
      <c r="J97" s="14"/>
    </row>
    <row r="98" ht="15.75" customHeight="1">
      <c r="A98" s="14" t="str">
        <f t="shared" si="1"/>
        <v/>
      </c>
      <c r="B98" s="24"/>
      <c r="C98" s="14"/>
      <c r="D98" s="14" t="str">
        <f>IF(C98="","",IFERROR(VLOOKUP(C98,'Item Master'!$B$3:$C$302,2,0),"Unknown Code"))</f>
        <v/>
      </c>
      <c r="E98" s="14" t="str">
        <f>IF(C98="","",IFERROR(VLOOKUP(C98,'Item Master'!$B$3:$G$302,6,0),""))</f>
        <v/>
      </c>
      <c r="F98" s="19"/>
      <c r="G98" s="14"/>
      <c r="H98" s="14"/>
      <c r="I98" s="14"/>
      <c r="J98" s="14"/>
    </row>
    <row r="99" ht="15.75" customHeight="1">
      <c r="A99" s="14" t="str">
        <f t="shared" si="1"/>
        <v/>
      </c>
      <c r="B99" s="24"/>
      <c r="C99" s="14"/>
      <c r="D99" s="14" t="str">
        <f>IF(C99="","",IFERROR(VLOOKUP(C99,'Item Master'!$B$3:$C$302,2,0),"Unknown Code"))</f>
        <v/>
      </c>
      <c r="E99" s="14" t="str">
        <f>IF(C99="","",IFERROR(VLOOKUP(C99,'Item Master'!$B$3:$G$302,6,0),""))</f>
        <v/>
      </c>
      <c r="F99" s="19"/>
      <c r="G99" s="14"/>
      <c r="H99" s="14"/>
      <c r="I99" s="14"/>
      <c r="J99" s="14"/>
    </row>
    <row r="100" ht="15.75" customHeight="1">
      <c r="A100" s="14" t="str">
        <f t="shared" si="1"/>
        <v/>
      </c>
      <c r="B100" s="24"/>
      <c r="C100" s="14"/>
      <c r="D100" s="14" t="str">
        <f>IF(C100="","",IFERROR(VLOOKUP(C100,'Item Master'!$B$3:$C$302,2,0),"Unknown Code"))</f>
        <v/>
      </c>
      <c r="E100" s="14" t="str">
        <f>IF(C100="","",IFERROR(VLOOKUP(C100,'Item Master'!$B$3:$G$302,6,0),""))</f>
        <v/>
      </c>
      <c r="F100" s="19"/>
      <c r="G100" s="14"/>
      <c r="H100" s="14"/>
      <c r="I100" s="14"/>
      <c r="J100" s="14"/>
    </row>
    <row r="101" ht="15.75" customHeight="1">
      <c r="A101" s="14" t="str">
        <f t="shared" si="1"/>
        <v/>
      </c>
      <c r="B101" s="24"/>
      <c r="C101" s="14"/>
      <c r="D101" s="14" t="str">
        <f>IF(C101="","",IFERROR(VLOOKUP(C101,'Item Master'!$B$3:$C$302,2,0),"Unknown Code"))</f>
        <v/>
      </c>
      <c r="E101" s="14" t="str">
        <f>IF(C101="","",IFERROR(VLOOKUP(C101,'Item Master'!$B$3:$G$302,6,0),""))</f>
        <v/>
      </c>
      <c r="F101" s="19"/>
      <c r="G101" s="14"/>
      <c r="H101" s="14"/>
      <c r="I101" s="14"/>
      <c r="J101" s="14"/>
    </row>
    <row r="102" ht="15.75" customHeight="1">
      <c r="A102" s="14" t="str">
        <f t="shared" si="1"/>
        <v/>
      </c>
      <c r="B102" s="24"/>
      <c r="C102" s="14"/>
      <c r="D102" s="14" t="str">
        <f>IF(C102="","",IFERROR(VLOOKUP(C102,'Item Master'!$B$3:$C$302,2,0),"Unknown Code"))</f>
        <v/>
      </c>
      <c r="E102" s="14" t="str">
        <f>IF(C102="","",IFERROR(VLOOKUP(C102,'Item Master'!$B$3:$G$302,6,0),""))</f>
        <v/>
      </c>
      <c r="F102" s="19"/>
      <c r="G102" s="14"/>
      <c r="H102" s="14"/>
      <c r="I102" s="14"/>
      <c r="J102" s="14"/>
    </row>
    <row r="103" ht="15.75" customHeight="1">
      <c r="A103" s="14" t="str">
        <f t="shared" si="1"/>
        <v/>
      </c>
      <c r="B103" s="24"/>
      <c r="C103" s="14"/>
      <c r="D103" s="14" t="str">
        <f>IF(C103="","",IFERROR(VLOOKUP(C103,'Item Master'!$B$3:$C$302,2,0),"Unknown Code"))</f>
        <v/>
      </c>
      <c r="E103" s="14" t="str">
        <f>IF(C103="","",IFERROR(VLOOKUP(C103,'Item Master'!$B$3:$G$302,6,0),""))</f>
        <v/>
      </c>
      <c r="F103" s="19"/>
      <c r="G103" s="14"/>
      <c r="H103" s="14"/>
      <c r="I103" s="14"/>
      <c r="J103" s="14"/>
    </row>
    <row r="104" ht="15.75" customHeight="1">
      <c r="A104" s="14" t="str">
        <f t="shared" si="1"/>
        <v/>
      </c>
      <c r="B104" s="24"/>
      <c r="C104" s="14"/>
      <c r="D104" s="14" t="str">
        <f>IF(C104="","",IFERROR(VLOOKUP(C104,'Item Master'!$B$3:$C$302,2,0),"Unknown Code"))</f>
        <v/>
      </c>
      <c r="E104" s="14" t="str">
        <f>IF(C104="","",IFERROR(VLOOKUP(C104,'Item Master'!$B$3:$G$302,6,0),""))</f>
        <v/>
      </c>
      <c r="F104" s="19"/>
      <c r="G104" s="14"/>
      <c r="H104" s="14"/>
      <c r="I104" s="14"/>
      <c r="J104" s="14"/>
    </row>
    <row r="105" ht="15.75" customHeight="1">
      <c r="A105" s="14" t="str">
        <f t="shared" si="1"/>
        <v/>
      </c>
      <c r="B105" s="24"/>
      <c r="C105" s="14"/>
      <c r="D105" s="14" t="str">
        <f>IF(C105="","",IFERROR(VLOOKUP(C105,'Item Master'!$B$3:$C$302,2,0),"Unknown Code"))</f>
        <v/>
      </c>
      <c r="E105" s="14" t="str">
        <f>IF(C105="","",IFERROR(VLOOKUP(C105,'Item Master'!$B$3:$G$302,6,0),""))</f>
        <v/>
      </c>
      <c r="F105" s="19"/>
      <c r="G105" s="14"/>
      <c r="H105" s="14"/>
      <c r="I105" s="14"/>
      <c r="J105" s="14"/>
    </row>
    <row r="106" ht="15.75" customHeight="1">
      <c r="A106" s="14" t="str">
        <f t="shared" si="1"/>
        <v/>
      </c>
      <c r="B106" s="24"/>
      <c r="C106" s="14"/>
      <c r="D106" s="14" t="str">
        <f>IF(C106="","",IFERROR(VLOOKUP(C106,'Item Master'!$B$3:$C$302,2,0),"Unknown Code"))</f>
        <v/>
      </c>
      <c r="E106" s="14" t="str">
        <f>IF(C106="","",IFERROR(VLOOKUP(C106,'Item Master'!$B$3:$G$302,6,0),""))</f>
        <v/>
      </c>
      <c r="F106" s="19"/>
      <c r="G106" s="14"/>
      <c r="H106" s="14"/>
      <c r="I106" s="14"/>
      <c r="J106" s="14"/>
    </row>
    <row r="107" ht="15.75" customHeight="1">
      <c r="A107" s="14" t="str">
        <f t="shared" si="1"/>
        <v/>
      </c>
      <c r="B107" s="24"/>
      <c r="C107" s="14"/>
      <c r="D107" s="14" t="str">
        <f>IF(C107="","",IFERROR(VLOOKUP(C107,'Item Master'!$B$3:$C$302,2,0),"Unknown Code"))</f>
        <v/>
      </c>
      <c r="E107" s="14" t="str">
        <f>IF(C107="","",IFERROR(VLOOKUP(C107,'Item Master'!$B$3:$G$302,6,0),""))</f>
        <v/>
      </c>
      <c r="F107" s="19"/>
      <c r="G107" s="14"/>
      <c r="H107" s="14"/>
      <c r="I107" s="14"/>
      <c r="J107" s="14"/>
    </row>
    <row r="108" ht="15.75" customHeight="1">
      <c r="A108" s="14" t="str">
        <f t="shared" si="1"/>
        <v/>
      </c>
      <c r="B108" s="24"/>
      <c r="C108" s="14"/>
      <c r="D108" s="14" t="str">
        <f>IF(C108="","",IFERROR(VLOOKUP(C108,'Item Master'!$B$3:$C$302,2,0),"Unknown Code"))</f>
        <v/>
      </c>
      <c r="E108" s="14" t="str">
        <f>IF(C108="","",IFERROR(VLOOKUP(C108,'Item Master'!$B$3:$G$302,6,0),""))</f>
        <v/>
      </c>
      <c r="F108" s="19"/>
      <c r="G108" s="14"/>
      <c r="H108" s="14"/>
      <c r="I108" s="14"/>
      <c r="J108" s="14"/>
    </row>
    <row r="109" ht="15.75" customHeight="1">
      <c r="A109" s="14" t="str">
        <f t="shared" si="1"/>
        <v/>
      </c>
      <c r="B109" s="24"/>
      <c r="C109" s="14"/>
      <c r="D109" s="14" t="str">
        <f>IF(C109="","",IFERROR(VLOOKUP(C109,'Item Master'!$B$3:$C$302,2,0),"Unknown Code"))</f>
        <v/>
      </c>
      <c r="E109" s="14" t="str">
        <f>IF(C109="","",IFERROR(VLOOKUP(C109,'Item Master'!$B$3:$G$302,6,0),""))</f>
        <v/>
      </c>
      <c r="F109" s="19"/>
      <c r="G109" s="14"/>
      <c r="H109" s="14"/>
      <c r="I109" s="14"/>
      <c r="J109" s="14"/>
    </row>
    <row r="110" ht="15.75" customHeight="1">
      <c r="A110" s="14" t="str">
        <f t="shared" si="1"/>
        <v/>
      </c>
      <c r="B110" s="24"/>
      <c r="C110" s="14"/>
      <c r="D110" s="14" t="str">
        <f>IF(C110="","",IFERROR(VLOOKUP(C110,'Item Master'!$B$3:$C$302,2,0),"Unknown Code"))</f>
        <v/>
      </c>
      <c r="E110" s="14" t="str">
        <f>IF(C110="","",IFERROR(VLOOKUP(C110,'Item Master'!$B$3:$G$302,6,0),""))</f>
        <v/>
      </c>
      <c r="F110" s="19"/>
      <c r="G110" s="14"/>
      <c r="H110" s="14"/>
      <c r="I110" s="14"/>
      <c r="J110" s="14"/>
    </row>
    <row r="111" ht="15.75" customHeight="1">
      <c r="A111" s="14" t="str">
        <f t="shared" si="1"/>
        <v/>
      </c>
      <c r="B111" s="24"/>
      <c r="C111" s="14"/>
      <c r="D111" s="14" t="str">
        <f>IF(C111="","",IFERROR(VLOOKUP(C111,'Item Master'!$B$3:$C$302,2,0),"Unknown Code"))</f>
        <v/>
      </c>
      <c r="E111" s="14" t="str">
        <f>IF(C111="","",IFERROR(VLOOKUP(C111,'Item Master'!$B$3:$G$302,6,0),""))</f>
        <v/>
      </c>
      <c r="F111" s="19"/>
      <c r="G111" s="14"/>
      <c r="H111" s="14"/>
      <c r="I111" s="14"/>
      <c r="J111" s="14"/>
    </row>
    <row r="112" ht="15.75" customHeight="1">
      <c r="A112" s="14" t="str">
        <f t="shared" si="1"/>
        <v/>
      </c>
      <c r="B112" s="24"/>
      <c r="C112" s="14"/>
      <c r="D112" s="14" t="str">
        <f>IF(C112="","",IFERROR(VLOOKUP(C112,'Item Master'!$B$3:$C$302,2,0),"Unknown Code"))</f>
        <v/>
      </c>
      <c r="E112" s="14" t="str">
        <f>IF(C112="","",IFERROR(VLOOKUP(C112,'Item Master'!$B$3:$G$302,6,0),""))</f>
        <v/>
      </c>
      <c r="F112" s="19"/>
      <c r="G112" s="14"/>
      <c r="H112" s="14"/>
      <c r="I112" s="14"/>
      <c r="J112" s="14"/>
    </row>
    <row r="113" ht="15.75" customHeight="1">
      <c r="A113" s="14" t="str">
        <f t="shared" si="1"/>
        <v/>
      </c>
      <c r="B113" s="24"/>
      <c r="C113" s="14"/>
      <c r="D113" s="14" t="str">
        <f>IF(C113="","",IFERROR(VLOOKUP(C113,'Item Master'!$B$3:$C$302,2,0),"Unknown Code"))</f>
        <v/>
      </c>
      <c r="E113" s="14" t="str">
        <f>IF(C113="","",IFERROR(VLOOKUP(C113,'Item Master'!$B$3:$G$302,6,0),""))</f>
        <v/>
      </c>
      <c r="F113" s="19"/>
      <c r="G113" s="14"/>
      <c r="H113" s="14"/>
      <c r="I113" s="14"/>
      <c r="J113" s="14"/>
    </row>
    <row r="114" ht="15.75" customHeight="1">
      <c r="A114" s="14" t="str">
        <f t="shared" si="1"/>
        <v/>
      </c>
      <c r="B114" s="24"/>
      <c r="C114" s="14"/>
      <c r="D114" s="14" t="str">
        <f>IF(C114="","",IFERROR(VLOOKUP(C114,'Item Master'!$B$3:$C$302,2,0),"Unknown Code"))</f>
        <v/>
      </c>
      <c r="E114" s="14" t="str">
        <f>IF(C114="","",IFERROR(VLOOKUP(C114,'Item Master'!$B$3:$G$302,6,0),""))</f>
        <v/>
      </c>
      <c r="F114" s="19"/>
      <c r="G114" s="14"/>
      <c r="H114" s="14"/>
      <c r="I114" s="14"/>
      <c r="J114" s="14"/>
    </row>
    <row r="115" ht="15.75" customHeight="1">
      <c r="A115" s="14" t="str">
        <f t="shared" si="1"/>
        <v/>
      </c>
      <c r="B115" s="24"/>
      <c r="C115" s="14"/>
      <c r="D115" s="14" t="str">
        <f>IF(C115="","",IFERROR(VLOOKUP(C115,'Item Master'!$B$3:$C$302,2,0),"Unknown Code"))</f>
        <v/>
      </c>
      <c r="E115" s="14" t="str">
        <f>IF(C115="","",IFERROR(VLOOKUP(C115,'Item Master'!$B$3:$G$302,6,0),""))</f>
        <v/>
      </c>
      <c r="F115" s="19"/>
      <c r="G115" s="14"/>
      <c r="H115" s="14"/>
      <c r="I115" s="14"/>
      <c r="J115" s="14"/>
    </row>
    <row r="116" ht="15.75" customHeight="1">
      <c r="A116" s="14" t="str">
        <f t="shared" si="1"/>
        <v/>
      </c>
      <c r="B116" s="24"/>
      <c r="C116" s="14"/>
      <c r="D116" s="14" t="str">
        <f>IF(C116="","",IFERROR(VLOOKUP(C116,'Item Master'!$B$3:$C$302,2,0),"Unknown Code"))</f>
        <v/>
      </c>
      <c r="E116" s="14" t="str">
        <f>IF(C116="","",IFERROR(VLOOKUP(C116,'Item Master'!$B$3:$G$302,6,0),""))</f>
        <v/>
      </c>
      <c r="F116" s="19"/>
      <c r="G116" s="14"/>
      <c r="H116" s="14"/>
      <c r="I116" s="14"/>
      <c r="J116" s="14"/>
    </row>
    <row r="117" ht="15.75" customHeight="1">
      <c r="A117" s="14" t="str">
        <f t="shared" si="1"/>
        <v/>
      </c>
      <c r="B117" s="24"/>
      <c r="C117" s="14"/>
      <c r="D117" s="14" t="str">
        <f>IF(C117="","",IFERROR(VLOOKUP(C117,'Item Master'!$B$3:$C$302,2,0),"Unknown Code"))</f>
        <v/>
      </c>
      <c r="E117" s="14" t="str">
        <f>IF(C117="","",IFERROR(VLOOKUP(C117,'Item Master'!$B$3:$G$302,6,0),""))</f>
        <v/>
      </c>
      <c r="F117" s="19"/>
      <c r="G117" s="14"/>
      <c r="H117" s="14"/>
      <c r="I117" s="14"/>
      <c r="J117" s="14"/>
    </row>
    <row r="118" ht="15.75" customHeight="1">
      <c r="A118" s="14" t="str">
        <f t="shared" si="1"/>
        <v/>
      </c>
      <c r="B118" s="24"/>
      <c r="C118" s="14"/>
      <c r="D118" s="14" t="str">
        <f>IF(C118="","",IFERROR(VLOOKUP(C118,'Item Master'!$B$3:$C$302,2,0),"Unknown Code"))</f>
        <v/>
      </c>
      <c r="E118" s="14" t="str">
        <f>IF(C118="","",IFERROR(VLOOKUP(C118,'Item Master'!$B$3:$G$302,6,0),""))</f>
        <v/>
      </c>
      <c r="F118" s="19"/>
      <c r="G118" s="14"/>
      <c r="H118" s="14"/>
      <c r="I118" s="14"/>
      <c r="J118" s="14"/>
    </row>
    <row r="119" ht="15.75" customHeight="1">
      <c r="A119" s="14" t="str">
        <f t="shared" si="1"/>
        <v/>
      </c>
      <c r="B119" s="24"/>
      <c r="C119" s="14"/>
      <c r="D119" s="14" t="str">
        <f>IF(C119="","",IFERROR(VLOOKUP(C119,'Item Master'!$B$3:$C$302,2,0),"Unknown Code"))</f>
        <v/>
      </c>
      <c r="E119" s="14" t="str">
        <f>IF(C119="","",IFERROR(VLOOKUP(C119,'Item Master'!$B$3:$G$302,6,0),""))</f>
        <v/>
      </c>
      <c r="F119" s="19"/>
      <c r="G119" s="14"/>
      <c r="H119" s="14"/>
      <c r="I119" s="14"/>
      <c r="J119" s="14"/>
    </row>
    <row r="120" ht="15.75" customHeight="1">
      <c r="A120" s="14" t="str">
        <f t="shared" si="1"/>
        <v/>
      </c>
      <c r="B120" s="24"/>
      <c r="C120" s="14"/>
      <c r="D120" s="14" t="str">
        <f>IF(C120="","",IFERROR(VLOOKUP(C120,'Item Master'!$B$3:$C$302,2,0),"Unknown Code"))</f>
        <v/>
      </c>
      <c r="E120" s="14" t="str">
        <f>IF(C120="","",IFERROR(VLOOKUP(C120,'Item Master'!$B$3:$G$302,6,0),""))</f>
        <v/>
      </c>
      <c r="F120" s="19"/>
      <c r="G120" s="14"/>
      <c r="H120" s="14"/>
      <c r="I120" s="14"/>
      <c r="J120" s="14"/>
    </row>
    <row r="121" ht="15.75" customHeight="1">
      <c r="A121" s="14" t="str">
        <f t="shared" si="1"/>
        <v/>
      </c>
      <c r="B121" s="24"/>
      <c r="C121" s="14"/>
      <c r="D121" s="14" t="str">
        <f>IF(C121="","",IFERROR(VLOOKUP(C121,'Item Master'!$B$3:$C$302,2,0),"Unknown Code"))</f>
        <v/>
      </c>
      <c r="E121" s="14" t="str">
        <f>IF(C121="","",IFERROR(VLOOKUP(C121,'Item Master'!$B$3:$G$302,6,0),""))</f>
        <v/>
      </c>
      <c r="F121" s="19"/>
      <c r="G121" s="14"/>
      <c r="H121" s="14"/>
      <c r="I121" s="14"/>
      <c r="J121" s="14"/>
    </row>
    <row r="122" ht="15.75" customHeight="1">
      <c r="A122" s="14" t="str">
        <f t="shared" si="1"/>
        <v/>
      </c>
      <c r="B122" s="24"/>
      <c r="C122" s="14"/>
      <c r="D122" s="14" t="str">
        <f>IF(C122="","",IFERROR(VLOOKUP(C122,'Item Master'!$B$3:$C$302,2,0),"Unknown Code"))</f>
        <v/>
      </c>
      <c r="E122" s="14" t="str">
        <f>IF(C122="","",IFERROR(VLOOKUP(C122,'Item Master'!$B$3:$G$302,6,0),""))</f>
        <v/>
      </c>
      <c r="F122" s="19"/>
      <c r="G122" s="14"/>
      <c r="H122" s="14"/>
      <c r="I122" s="14"/>
      <c r="J122" s="14"/>
    </row>
    <row r="123" ht="15.75" customHeight="1">
      <c r="A123" s="14" t="str">
        <f t="shared" si="1"/>
        <v/>
      </c>
      <c r="B123" s="24"/>
      <c r="C123" s="14"/>
      <c r="D123" s="14" t="str">
        <f>IF(C123="","",IFERROR(VLOOKUP(C123,'Item Master'!$B$3:$C$302,2,0),"Unknown Code"))</f>
        <v/>
      </c>
      <c r="E123" s="14" t="str">
        <f>IF(C123="","",IFERROR(VLOOKUP(C123,'Item Master'!$B$3:$G$302,6,0),""))</f>
        <v/>
      </c>
      <c r="F123" s="19"/>
      <c r="G123" s="14"/>
      <c r="H123" s="14"/>
      <c r="I123" s="14"/>
      <c r="J123" s="14"/>
    </row>
    <row r="124" ht="15.75" customHeight="1">
      <c r="A124" s="14" t="str">
        <f t="shared" si="1"/>
        <v/>
      </c>
      <c r="B124" s="24"/>
      <c r="C124" s="14"/>
      <c r="D124" s="14" t="str">
        <f>IF(C124="","",IFERROR(VLOOKUP(C124,'Item Master'!$B$3:$C$302,2,0),"Unknown Code"))</f>
        <v/>
      </c>
      <c r="E124" s="14" t="str">
        <f>IF(C124="","",IFERROR(VLOOKUP(C124,'Item Master'!$B$3:$G$302,6,0),""))</f>
        <v/>
      </c>
      <c r="F124" s="19"/>
      <c r="G124" s="14"/>
      <c r="H124" s="14"/>
      <c r="I124" s="14"/>
      <c r="J124" s="14"/>
    </row>
    <row r="125" ht="15.75" customHeight="1">
      <c r="A125" s="14" t="str">
        <f t="shared" si="1"/>
        <v/>
      </c>
      <c r="B125" s="24"/>
      <c r="C125" s="14"/>
      <c r="D125" s="14" t="str">
        <f>IF(C125="","",IFERROR(VLOOKUP(C125,'Item Master'!$B$3:$C$302,2,0),"Unknown Code"))</f>
        <v/>
      </c>
      <c r="E125" s="14" t="str">
        <f>IF(C125="","",IFERROR(VLOOKUP(C125,'Item Master'!$B$3:$G$302,6,0),""))</f>
        <v/>
      </c>
      <c r="F125" s="19"/>
      <c r="G125" s="14"/>
      <c r="H125" s="14"/>
      <c r="I125" s="14"/>
      <c r="J125" s="14"/>
    </row>
    <row r="126" ht="15.75" customHeight="1">
      <c r="A126" s="14" t="str">
        <f t="shared" si="1"/>
        <v/>
      </c>
      <c r="B126" s="24"/>
      <c r="C126" s="14"/>
      <c r="D126" s="14" t="str">
        <f>IF(C126="","",IFERROR(VLOOKUP(C126,'Item Master'!$B$3:$C$302,2,0),"Unknown Code"))</f>
        <v/>
      </c>
      <c r="E126" s="14" t="str">
        <f>IF(C126="","",IFERROR(VLOOKUP(C126,'Item Master'!$B$3:$G$302,6,0),""))</f>
        <v/>
      </c>
      <c r="F126" s="19"/>
      <c r="G126" s="14"/>
      <c r="H126" s="14"/>
      <c r="I126" s="14"/>
      <c r="J126" s="14"/>
    </row>
    <row r="127" ht="15.75" customHeight="1">
      <c r="A127" s="14" t="str">
        <f t="shared" si="1"/>
        <v/>
      </c>
      <c r="B127" s="24"/>
      <c r="C127" s="14"/>
      <c r="D127" s="14" t="str">
        <f>IF(C127="","",IFERROR(VLOOKUP(C127,'Item Master'!$B$3:$C$302,2,0),"Unknown Code"))</f>
        <v/>
      </c>
      <c r="E127" s="14" t="str">
        <f>IF(C127="","",IFERROR(VLOOKUP(C127,'Item Master'!$B$3:$G$302,6,0),""))</f>
        <v/>
      </c>
      <c r="F127" s="19"/>
      <c r="G127" s="14"/>
      <c r="H127" s="14"/>
      <c r="I127" s="14"/>
      <c r="J127" s="14"/>
    </row>
    <row r="128" ht="15.75" customHeight="1">
      <c r="A128" s="14" t="str">
        <f t="shared" si="1"/>
        <v/>
      </c>
      <c r="B128" s="24"/>
      <c r="C128" s="14"/>
      <c r="D128" s="14" t="str">
        <f>IF(C128="","",IFERROR(VLOOKUP(C128,'Item Master'!$B$3:$C$302,2,0),"Unknown Code"))</f>
        <v/>
      </c>
      <c r="E128" s="14" t="str">
        <f>IF(C128="","",IFERROR(VLOOKUP(C128,'Item Master'!$B$3:$G$302,6,0),""))</f>
        <v/>
      </c>
      <c r="F128" s="19"/>
      <c r="G128" s="14"/>
      <c r="H128" s="14"/>
      <c r="I128" s="14"/>
      <c r="J128" s="14"/>
    </row>
    <row r="129" ht="15.75" customHeight="1">
      <c r="A129" s="14" t="str">
        <f t="shared" si="1"/>
        <v/>
      </c>
      <c r="B129" s="24"/>
      <c r="C129" s="14"/>
      <c r="D129" s="14" t="str">
        <f>IF(C129="","",IFERROR(VLOOKUP(C129,'Item Master'!$B$3:$C$302,2,0),"Unknown Code"))</f>
        <v/>
      </c>
      <c r="E129" s="14" t="str">
        <f>IF(C129="","",IFERROR(VLOOKUP(C129,'Item Master'!$B$3:$G$302,6,0),""))</f>
        <v/>
      </c>
      <c r="F129" s="19"/>
      <c r="G129" s="14"/>
      <c r="H129" s="14"/>
      <c r="I129" s="14"/>
      <c r="J129" s="14"/>
    </row>
    <row r="130" ht="15.75" customHeight="1">
      <c r="A130" s="14" t="str">
        <f t="shared" si="1"/>
        <v/>
      </c>
      <c r="B130" s="24"/>
      <c r="C130" s="14"/>
      <c r="D130" s="14" t="str">
        <f>IF(C130="","",IFERROR(VLOOKUP(C130,'Item Master'!$B$3:$C$302,2,0),"Unknown Code"))</f>
        <v/>
      </c>
      <c r="E130" s="14" t="str">
        <f>IF(C130="","",IFERROR(VLOOKUP(C130,'Item Master'!$B$3:$G$302,6,0),""))</f>
        <v/>
      </c>
      <c r="F130" s="19"/>
      <c r="G130" s="14"/>
      <c r="H130" s="14"/>
      <c r="I130" s="14"/>
      <c r="J130" s="14"/>
    </row>
    <row r="131" ht="15.75" customHeight="1">
      <c r="A131" s="14" t="str">
        <f t="shared" si="1"/>
        <v/>
      </c>
      <c r="B131" s="24"/>
      <c r="C131" s="14"/>
      <c r="D131" s="14" t="str">
        <f>IF(C131="","",IFERROR(VLOOKUP(C131,'Item Master'!$B$3:$C$302,2,0),"Unknown Code"))</f>
        <v/>
      </c>
      <c r="E131" s="14" t="str">
        <f>IF(C131="","",IFERROR(VLOOKUP(C131,'Item Master'!$B$3:$G$302,6,0),""))</f>
        <v/>
      </c>
      <c r="F131" s="19"/>
      <c r="G131" s="14"/>
      <c r="H131" s="14"/>
      <c r="I131" s="14"/>
      <c r="J131" s="14"/>
    </row>
    <row r="132" ht="15.75" customHeight="1">
      <c r="A132" s="14" t="str">
        <f t="shared" si="1"/>
        <v/>
      </c>
      <c r="B132" s="24"/>
      <c r="C132" s="14"/>
      <c r="D132" s="14" t="str">
        <f>IF(C132="","",IFERROR(VLOOKUP(C132,'Item Master'!$B$3:$C$302,2,0),"Unknown Code"))</f>
        <v/>
      </c>
      <c r="E132" s="14" t="str">
        <f>IF(C132="","",IFERROR(VLOOKUP(C132,'Item Master'!$B$3:$G$302,6,0),""))</f>
        <v/>
      </c>
      <c r="F132" s="19"/>
      <c r="G132" s="14"/>
      <c r="H132" s="14"/>
      <c r="I132" s="14"/>
      <c r="J132" s="14"/>
    </row>
    <row r="133" ht="15.75" customHeight="1">
      <c r="A133" s="14" t="str">
        <f t="shared" si="1"/>
        <v/>
      </c>
      <c r="B133" s="24"/>
      <c r="C133" s="14"/>
      <c r="D133" s="14" t="str">
        <f>IF(C133="","",IFERROR(VLOOKUP(C133,'Item Master'!$B$3:$C$302,2,0),"Unknown Code"))</f>
        <v/>
      </c>
      <c r="E133" s="14" t="str">
        <f>IF(C133="","",IFERROR(VLOOKUP(C133,'Item Master'!$B$3:$G$302,6,0),""))</f>
        <v/>
      </c>
      <c r="F133" s="19"/>
      <c r="G133" s="14"/>
      <c r="H133" s="14"/>
      <c r="I133" s="14"/>
      <c r="J133" s="14"/>
    </row>
    <row r="134" ht="15.75" customHeight="1">
      <c r="A134" s="14" t="str">
        <f t="shared" si="1"/>
        <v/>
      </c>
      <c r="B134" s="24"/>
      <c r="C134" s="14"/>
      <c r="D134" s="14" t="str">
        <f>IF(C134="","",IFERROR(VLOOKUP(C134,'Item Master'!$B$3:$C$302,2,0),"Unknown Code"))</f>
        <v/>
      </c>
      <c r="E134" s="14" t="str">
        <f>IF(C134="","",IFERROR(VLOOKUP(C134,'Item Master'!$B$3:$G$302,6,0),""))</f>
        <v/>
      </c>
      <c r="F134" s="19"/>
      <c r="G134" s="14"/>
      <c r="H134" s="14"/>
      <c r="I134" s="14"/>
      <c r="J134" s="14"/>
    </row>
    <row r="135" ht="15.75" customHeight="1">
      <c r="A135" s="14" t="str">
        <f t="shared" si="1"/>
        <v/>
      </c>
      <c r="B135" s="24"/>
      <c r="C135" s="14"/>
      <c r="D135" s="14" t="str">
        <f>IF(C135="","",IFERROR(VLOOKUP(C135,'Item Master'!$B$3:$C$302,2,0),"Unknown Code"))</f>
        <v/>
      </c>
      <c r="E135" s="14" t="str">
        <f>IF(C135="","",IFERROR(VLOOKUP(C135,'Item Master'!$B$3:$G$302,6,0),""))</f>
        <v/>
      </c>
      <c r="F135" s="19"/>
      <c r="G135" s="14"/>
      <c r="H135" s="14"/>
      <c r="I135" s="14"/>
      <c r="J135" s="14"/>
    </row>
    <row r="136" ht="15.75" customHeight="1">
      <c r="A136" s="14" t="str">
        <f t="shared" si="1"/>
        <v/>
      </c>
      <c r="B136" s="24"/>
      <c r="C136" s="14"/>
      <c r="D136" s="14" t="str">
        <f>IF(C136="","",IFERROR(VLOOKUP(C136,'Item Master'!$B$3:$C$302,2,0),"Unknown Code"))</f>
        <v/>
      </c>
      <c r="E136" s="14" t="str">
        <f>IF(C136="","",IFERROR(VLOOKUP(C136,'Item Master'!$B$3:$G$302,6,0),""))</f>
        <v/>
      </c>
      <c r="F136" s="19"/>
      <c r="G136" s="14"/>
      <c r="H136" s="14"/>
      <c r="I136" s="14"/>
      <c r="J136" s="14"/>
    </row>
    <row r="137" ht="15.75" customHeight="1">
      <c r="A137" s="14" t="str">
        <f t="shared" si="1"/>
        <v/>
      </c>
      <c r="B137" s="24"/>
      <c r="C137" s="14"/>
      <c r="D137" s="14" t="str">
        <f>IF(C137="","",IFERROR(VLOOKUP(C137,'Item Master'!$B$3:$C$302,2,0),"Unknown Code"))</f>
        <v/>
      </c>
      <c r="E137" s="14" t="str">
        <f>IF(C137="","",IFERROR(VLOOKUP(C137,'Item Master'!$B$3:$G$302,6,0),""))</f>
        <v/>
      </c>
      <c r="F137" s="19"/>
      <c r="G137" s="14"/>
      <c r="H137" s="14"/>
      <c r="I137" s="14"/>
      <c r="J137" s="14"/>
    </row>
    <row r="138" ht="15.75" customHeight="1">
      <c r="A138" s="14" t="str">
        <f t="shared" si="1"/>
        <v/>
      </c>
      <c r="B138" s="24"/>
      <c r="C138" s="14"/>
      <c r="D138" s="14" t="str">
        <f>IF(C138="","",IFERROR(VLOOKUP(C138,'Item Master'!$B$3:$C$302,2,0),"Unknown Code"))</f>
        <v/>
      </c>
      <c r="E138" s="14" t="str">
        <f>IF(C138="","",IFERROR(VLOOKUP(C138,'Item Master'!$B$3:$G$302,6,0),""))</f>
        <v/>
      </c>
      <c r="F138" s="19"/>
      <c r="G138" s="14"/>
      <c r="H138" s="14"/>
      <c r="I138" s="14"/>
      <c r="J138" s="14"/>
    </row>
    <row r="139" ht="15.75" customHeight="1">
      <c r="A139" s="14" t="str">
        <f t="shared" si="1"/>
        <v/>
      </c>
      <c r="B139" s="24"/>
      <c r="C139" s="14"/>
      <c r="D139" s="14" t="str">
        <f>IF(C139="","",IFERROR(VLOOKUP(C139,'Item Master'!$B$3:$C$302,2,0),"Unknown Code"))</f>
        <v/>
      </c>
      <c r="E139" s="14" t="str">
        <f>IF(C139="","",IFERROR(VLOOKUP(C139,'Item Master'!$B$3:$G$302,6,0),""))</f>
        <v/>
      </c>
      <c r="F139" s="19"/>
      <c r="G139" s="14"/>
      <c r="H139" s="14"/>
      <c r="I139" s="14"/>
      <c r="J139" s="14"/>
    </row>
    <row r="140" ht="15.75" customHeight="1">
      <c r="A140" s="14" t="str">
        <f t="shared" si="1"/>
        <v/>
      </c>
      <c r="B140" s="24"/>
      <c r="C140" s="14"/>
      <c r="D140" s="14" t="str">
        <f>IF(C140="","",IFERROR(VLOOKUP(C140,'Item Master'!$B$3:$C$302,2,0),"Unknown Code"))</f>
        <v/>
      </c>
      <c r="E140" s="14" t="str">
        <f>IF(C140="","",IFERROR(VLOOKUP(C140,'Item Master'!$B$3:$G$302,6,0),""))</f>
        <v/>
      </c>
      <c r="F140" s="19"/>
      <c r="G140" s="14"/>
      <c r="H140" s="14"/>
      <c r="I140" s="14"/>
      <c r="J140" s="14"/>
    </row>
    <row r="141" ht="15.75" customHeight="1">
      <c r="A141" s="14" t="str">
        <f t="shared" si="1"/>
        <v/>
      </c>
      <c r="B141" s="24"/>
      <c r="C141" s="14"/>
      <c r="D141" s="14" t="str">
        <f>IF(C141="","",IFERROR(VLOOKUP(C141,'Item Master'!$B$3:$C$302,2,0),"Unknown Code"))</f>
        <v/>
      </c>
      <c r="E141" s="14" t="str">
        <f>IF(C141="","",IFERROR(VLOOKUP(C141,'Item Master'!$B$3:$G$302,6,0),""))</f>
        <v/>
      </c>
      <c r="F141" s="19"/>
      <c r="G141" s="14"/>
      <c r="H141" s="14"/>
      <c r="I141" s="14"/>
      <c r="J141" s="14"/>
    </row>
    <row r="142" ht="15.75" customHeight="1">
      <c r="A142" s="14" t="str">
        <f t="shared" si="1"/>
        <v/>
      </c>
      <c r="B142" s="24"/>
      <c r="C142" s="14"/>
      <c r="D142" s="14" t="str">
        <f>IF(C142="","",IFERROR(VLOOKUP(C142,'Item Master'!$B$3:$C$302,2,0),"Unknown Code"))</f>
        <v/>
      </c>
      <c r="E142" s="14" t="str">
        <f>IF(C142="","",IFERROR(VLOOKUP(C142,'Item Master'!$B$3:$G$302,6,0),""))</f>
        <v/>
      </c>
      <c r="F142" s="19"/>
      <c r="G142" s="14"/>
      <c r="H142" s="14"/>
      <c r="I142" s="14"/>
      <c r="J142" s="14"/>
    </row>
    <row r="143" ht="15.75" customHeight="1">
      <c r="A143" s="14" t="str">
        <f t="shared" si="1"/>
        <v/>
      </c>
      <c r="B143" s="24"/>
      <c r="C143" s="14"/>
      <c r="D143" s="14" t="str">
        <f>IF(C143="","",IFERROR(VLOOKUP(C143,'Item Master'!$B$3:$C$302,2,0),"Unknown Code"))</f>
        <v/>
      </c>
      <c r="E143" s="14" t="str">
        <f>IF(C143="","",IFERROR(VLOOKUP(C143,'Item Master'!$B$3:$G$302,6,0),""))</f>
        <v/>
      </c>
      <c r="F143" s="19"/>
      <c r="G143" s="14"/>
      <c r="H143" s="14"/>
      <c r="I143" s="14"/>
      <c r="J143" s="14"/>
    </row>
    <row r="144" ht="15.75" customHeight="1">
      <c r="A144" s="14" t="str">
        <f t="shared" si="1"/>
        <v/>
      </c>
      <c r="B144" s="24"/>
      <c r="C144" s="14"/>
      <c r="D144" s="14" t="str">
        <f>IF(C144="","",IFERROR(VLOOKUP(C144,'Item Master'!$B$3:$C$302,2,0),"Unknown Code"))</f>
        <v/>
      </c>
      <c r="E144" s="14" t="str">
        <f>IF(C144="","",IFERROR(VLOOKUP(C144,'Item Master'!$B$3:$G$302,6,0),""))</f>
        <v/>
      </c>
      <c r="F144" s="19"/>
      <c r="G144" s="14"/>
      <c r="H144" s="14"/>
      <c r="I144" s="14"/>
      <c r="J144" s="14"/>
    </row>
    <row r="145" ht="15.75" customHeight="1">
      <c r="A145" s="14" t="str">
        <f t="shared" si="1"/>
        <v/>
      </c>
      <c r="B145" s="24"/>
      <c r="C145" s="14"/>
      <c r="D145" s="14" t="str">
        <f>IF(C145="","",IFERROR(VLOOKUP(C145,'Item Master'!$B$3:$C$302,2,0),"Unknown Code"))</f>
        <v/>
      </c>
      <c r="E145" s="14" t="str">
        <f>IF(C145="","",IFERROR(VLOOKUP(C145,'Item Master'!$B$3:$G$302,6,0),""))</f>
        <v/>
      </c>
      <c r="F145" s="19"/>
      <c r="G145" s="14"/>
      <c r="H145" s="14"/>
      <c r="I145" s="14"/>
      <c r="J145" s="14"/>
    </row>
    <row r="146" ht="15.75" customHeight="1">
      <c r="A146" s="14" t="str">
        <f t="shared" si="1"/>
        <v/>
      </c>
      <c r="B146" s="24"/>
      <c r="C146" s="14"/>
      <c r="D146" s="14" t="str">
        <f>IF(C146="","",IFERROR(VLOOKUP(C146,'Item Master'!$B$3:$C$302,2,0),"Unknown Code"))</f>
        <v/>
      </c>
      <c r="E146" s="14" t="str">
        <f>IF(C146="","",IFERROR(VLOOKUP(C146,'Item Master'!$B$3:$G$302,6,0),""))</f>
        <v/>
      </c>
      <c r="F146" s="19"/>
      <c r="G146" s="14"/>
      <c r="H146" s="14"/>
      <c r="I146" s="14"/>
      <c r="J146" s="14"/>
    </row>
    <row r="147" ht="15.75" customHeight="1">
      <c r="A147" s="14" t="str">
        <f t="shared" si="1"/>
        <v/>
      </c>
      <c r="B147" s="24"/>
      <c r="C147" s="14"/>
      <c r="D147" s="14" t="str">
        <f>IF(C147="","",IFERROR(VLOOKUP(C147,'Item Master'!$B$3:$C$302,2,0),"Unknown Code"))</f>
        <v/>
      </c>
      <c r="E147" s="14" t="str">
        <f>IF(C147="","",IFERROR(VLOOKUP(C147,'Item Master'!$B$3:$G$302,6,0),""))</f>
        <v/>
      </c>
      <c r="F147" s="19"/>
      <c r="G147" s="14"/>
      <c r="H147" s="14"/>
      <c r="I147" s="14"/>
      <c r="J147" s="14"/>
    </row>
    <row r="148" ht="15.75" customHeight="1">
      <c r="A148" s="14" t="str">
        <f t="shared" si="1"/>
        <v/>
      </c>
      <c r="B148" s="24"/>
      <c r="C148" s="14"/>
      <c r="D148" s="14" t="str">
        <f>IF(C148="","",IFERROR(VLOOKUP(C148,'Item Master'!$B$3:$C$302,2,0),"Unknown Code"))</f>
        <v/>
      </c>
      <c r="E148" s="14" t="str">
        <f>IF(C148="","",IFERROR(VLOOKUP(C148,'Item Master'!$B$3:$G$302,6,0),""))</f>
        <v/>
      </c>
      <c r="F148" s="19"/>
      <c r="G148" s="14"/>
      <c r="H148" s="14"/>
      <c r="I148" s="14"/>
      <c r="J148" s="14"/>
    </row>
    <row r="149" ht="15.75" customHeight="1">
      <c r="A149" s="14" t="str">
        <f t="shared" si="1"/>
        <v/>
      </c>
      <c r="B149" s="24"/>
      <c r="C149" s="14"/>
      <c r="D149" s="14" t="str">
        <f>IF(C149="","",IFERROR(VLOOKUP(C149,'Item Master'!$B$3:$C$302,2,0),"Unknown Code"))</f>
        <v/>
      </c>
      <c r="E149" s="14" t="str">
        <f>IF(C149="","",IFERROR(VLOOKUP(C149,'Item Master'!$B$3:$G$302,6,0),""))</f>
        <v/>
      </c>
      <c r="F149" s="19"/>
      <c r="G149" s="14"/>
      <c r="H149" s="14"/>
      <c r="I149" s="14"/>
      <c r="J149" s="14"/>
    </row>
    <row r="150" ht="15.75" customHeight="1">
      <c r="A150" s="14" t="str">
        <f t="shared" si="1"/>
        <v/>
      </c>
      <c r="B150" s="24"/>
      <c r="C150" s="14"/>
      <c r="D150" s="14" t="str">
        <f>IF(C150="","",IFERROR(VLOOKUP(C150,'Item Master'!$B$3:$C$302,2,0),"Unknown Code"))</f>
        <v/>
      </c>
      <c r="E150" s="14" t="str">
        <f>IF(C150="","",IFERROR(VLOOKUP(C150,'Item Master'!$B$3:$G$302,6,0),""))</f>
        <v/>
      </c>
      <c r="F150" s="19"/>
      <c r="G150" s="14"/>
      <c r="H150" s="14"/>
      <c r="I150" s="14"/>
      <c r="J150" s="14"/>
    </row>
    <row r="151" ht="15.75" customHeight="1">
      <c r="A151" s="14" t="str">
        <f t="shared" si="1"/>
        <v/>
      </c>
      <c r="B151" s="24"/>
      <c r="C151" s="14"/>
      <c r="D151" s="14" t="str">
        <f>IF(C151="","",IFERROR(VLOOKUP(C151,'Item Master'!$B$3:$C$302,2,0),"Unknown Code"))</f>
        <v/>
      </c>
      <c r="E151" s="14" t="str">
        <f>IF(C151="","",IFERROR(VLOOKUP(C151,'Item Master'!$B$3:$G$302,6,0),""))</f>
        <v/>
      </c>
      <c r="F151" s="19"/>
      <c r="G151" s="14"/>
      <c r="H151" s="14"/>
      <c r="I151" s="14"/>
      <c r="J151" s="14"/>
    </row>
    <row r="152" ht="15.75" customHeight="1">
      <c r="A152" s="14" t="str">
        <f t="shared" si="1"/>
        <v/>
      </c>
      <c r="B152" s="24"/>
      <c r="C152" s="14"/>
      <c r="D152" s="14" t="str">
        <f>IF(C152="","",IFERROR(VLOOKUP(C152,'Item Master'!$B$3:$C$302,2,0),"Unknown Code"))</f>
        <v/>
      </c>
      <c r="E152" s="14" t="str">
        <f>IF(C152="","",IFERROR(VLOOKUP(C152,'Item Master'!$B$3:$G$302,6,0),""))</f>
        <v/>
      </c>
      <c r="F152" s="19"/>
      <c r="G152" s="14"/>
      <c r="H152" s="14"/>
      <c r="I152" s="14"/>
      <c r="J152" s="14"/>
    </row>
    <row r="153" ht="15.75" customHeight="1">
      <c r="A153" s="14" t="str">
        <f t="shared" si="1"/>
        <v/>
      </c>
      <c r="B153" s="24"/>
      <c r="C153" s="14"/>
      <c r="D153" s="14" t="str">
        <f>IF(C153="","",IFERROR(VLOOKUP(C153,'Item Master'!$B$3:$C$302,2,0),"Unknown Code"))</f>
        <v/>
      </c>
      <c r="E153" s="14" t="str">
        <f>IF(C153="","",IFERROR(VLOOKUP(C153,'Item Master'!$B$3:$G$302,6,0),""))</f>
        <v/>
      </c>
      <c r="F153" s="19"/>
      <c r="G153" s="14"/>
      <c r="H153" s="14"/>
      <c r="I153" s="14"/>
      <c r="J153" s="14"/>
    </row>
    <row r="154" ht="15.75" customHeight="1">
      <c r="A154" s="14" t="str">
        <f t="shared" si="1"/>
        <v/>
      </c>
      <c r="B154" s="24"/>
      <c r="C154" s="14"/>
      <c r="D154" s="14" t="str">
        <f>IF(C154="","",IFERROR(VLOOKUP(C154,'Item Master'!$B$3:$C$302,2,0),"Unknown Code"))</f>
        <v/>
      </c>
      <c r="E154" s="14" t="str">
        <f>IF(C154="","",IFERROR(VLOOKUP(C154,'Item Master'!$B$3:$G$302,6,0),""))</f>
        <v/>
      </c>
      <c r="F154" s="19"/>
      <c r="G154" s="14"/>
      <c r="H154" s="14"/>
      <c r="I154" s="14"/>
      <c r="J154" s="14"/>
    </row>
    <row r="155" ht="15.75" customHeight="1">
      <c r="A155" s="14" t="str">
        <f t="shared" si="1"/>
        <v/>
      </c>
      <c r="B155" s="24"/>
      <c r="C155" s="14"/>
      <c r="D155" s="14" t="str">
        <f>IF(C155="","",IFERROR(VLOOKUP(C155,'Item Master'!$B$3:$C$302,2,0),"Unknown Code"))</f>
        <v/>
      </c>
      <c r="E155" s="14" t="str">
        <f>IF(C155="","",IFERROR(VLOOKUP(C155,'Item Master'!$B$3:$G$302,6,0),""))</f>
        <v/>
      </c>
      <c r="F155" s="19"/>
      <c r="G155" s="14"/>
      <c r="H155" s="14"/>
      <c r="I155" s="14"/>
      <c r="J155" s="14"/>
    </row>
    <row r="156" ht="15.75" customHeight="1">
      <c r="A156" s="14" t="str">
        <f t="shared" si="1"/>
        <v/>
      </c>
      <c r="B156" s="24"/>
      <c r="C156" s="14"/>
      <c r="D156" s="14" t="str">
        <f>IF(C156="","",IFERROR(VLOOKUP(C156,'Item Master'!$B$3:$C$302,2,0),"Unknown Code"))</f>
        <v/>
      </c>
      <c r="E156" s="14" t="str">
        <f>IF(C156="","",IFERROR(VLOOKUP(C156,'Item Master'!$B$3:$G$302,6,0),""))</f>
        <v/>
      </c>
      <c r="F156" s="19"/>
      <c r="G156" s="14"/>
      <c r="H156" s="14"/>
      <c r="I156" s="14"/>
      <c r="J156" s="14"/>
    </row>
    <row r="157" ht="15.75" customHeight="1">
      <c r="A157" s="14" t="str">
        <f t="shared" si="1"/>
        <v/>
      </c>
      <c r="B157" s="24"/>
      <c r="C157" s="14"/>
      <c r="D157" s="14" t="str">
        <f>IF(C157="","",IFERROR(VLOOKUP(C157,'Item Master'!$B$3:$C$302,2,0),"Unknown Code"))</f>
        <v/>
      </c>
      <c r="E157" s="14" t="str">
        <f>IF(C157="","",IFERROR(VLOOKUP(C157,'Item Master'!$B$3:$G$302,6,0),""))</f>
        <v/>
      </c>
      <c r="F157" s="19"/>
      <c r="G157" s="14"/>
      <c r="H157" s="14"/>
      <c r="I157" s="14"/>
      <c r="J157" s="14"/>
    </row>
    <row r="158" ht="15.75" customHeight="1">
      <c r="A158" s="14" t="str">
        <f t="shared" si="1"/>
        <v/>
      </c>
      <c r="B158" s="24"/>
      <c r="C158" s="14"/>
      <c r="D158" s="14" t="str">
        <f>IF(C158="","",IFERROR(VLOOKUP(C158,'Item Master'!$B$3:$C$302,2,0),"Unknown Code"))</f>
        <v/>
      </c>
      <c r="E158" s="14" t="str">
        <f>IF(C158="","",IFERROR(VLOOKUP(C158,'Item Master'!$B$3:$G$302,6,0),""))</f>
        <v/>
      </c>
      <c r="F158" s="19"/>
      <c r="G158" s="14"/>
      <c r="H158" s="14"/>
      <c r="I158" s="14"/>
      <c r="J158" s="14"/>
    </row>
    <row r="159" ht="15.75" customHeight="1">
      <c r="A159" s="14" t="str">
        <f t="shared" si="1"/>
        <v/>
      </c>
      <c r="B159" s="24"/>
      <c r="C159" s="14"/>
      <c r="D159" s="14" t="str">
        <f>IF(C159="","",IFERROR(VLOOKUP(C159,'Item Master'!$B$3:$C$302,2,0),"Unknown Code"))</f>
        <v/>
      </c>
      <c r="E159" s="14" t="str">
        <f>IF(C159="","",IFERROR(VLOOKUP(C159,'Item Master'!$B$3:$G$302,6,0),""))</f>
        <v/>
      </c>
      <c r="F159" s="19"/>
      <c r="G159" s="14"/>
      <c r="H159" s="14"/>
      <c r="I159" s="14"/>
      <c r="J159" s="14"/>
    </row>
    <row r="160" ht="15.75" customHeight="1">
      <c r="A160" s="14" t="str">
        <f t="shared" si="1"/>
        <v/>
      </c>
      <c r="B160" s="24"/>
      <c r="C160" s="14"/>
      <c r="D160" s="14" t="str">
        <f>IF(C160="","",IFERROR(VLOOKUP(C160,'Item Master'!$B$3:$C$302,2,0),"Unknown Code"))</f>
        <v/>
      </c>
      <c r="E160" s="14" t="str">
        <f>IF(C160="","",IFERROR(VLOOKUP(C160,'Item Master'!$B$3:$G$302,6,0),""))</f>
        <v/>
      </c>
      <c r="F160" s="19"/>
      <c r="G160" s="14"/>
      <c r="H160" s="14"/>
      <c r="I160" s="14"/>
      <c r="J160" s="14"/>
    </row>
    <row r="161" ht="15.75" customHeight="1">
      <c r="A161" s="14" t="str">
        <f t="shared" si="1"/>
        <v/>
      </c>
      <c r="B161" s="24"/>
      <c r="C161" s="14"/>
      <c r="D161" s="14" t="str">
        <f>IF(C161="","",IFERROR(VLOOKUP(C161,'Item Master'!$B$3:$C$302,2,0),"Unknown Code"))</f>
        <v/>
      </c>
      <c r="E161" s="14" t="str">
        <f>IF(C161="","",IFERROR(VLOOKUP(C161,'Item Master'!$B$3:$G$302,6,0),""))</f>
        <v/>
      </c>
      <c r="F161" s="19"/>
      <c r="G161" s="14"/>
      <c r="H161" s="14"/>
      <c r="I161" s="14"/>
      <c r="J161" s="14"/>
    </row>
    <row r="162" ht="15.75" customHeight="1">
      <c r="A162" s="14" t="str">
        <f t="shared" si="1"/>
        <v/>
      </c>
      <c r="B162" s="24"/>
      <c r="C162" s="14"/>
      <c r="D162" s="14" t="str">
        <f>IF(C162="","",IFERROR(VLOOKUP(C162,'Item Master'!$B$3:$C$302,2,0),"Unknown Code"))</f>
        <v/>
      </c>
      <c r="E162" s="14" t="str">
        <f>IF(C162="","",IFERROR(VLOOKUP(C162,'Item Master'!$B$3:$G$302,6,0),""))</f>
        <v/>
      </c>
      <c r="F162" s="19"/>
      <c r="G162" s="14"/>
      <c r="H162" s="14"/>
      <c r="I162" s="14"/>
      <c r="J162" s="14"/>
    </row>
    <row r="163" ht="15.75" customHeight="1">
      <c r="A163" s="14" t="str">
        <f t="shared" si="1"/>
        <v/>
      </c>
      <c r="B163" s="24"/>
      <c r="C163" s="14"/>
      <c r="D163" s="14" t="str">
        <f>IF(C163="","",IFERROR(VLOOKUP(C163,'Item Master'!$B$3:$C$302,2,0),"Unknown Code"))</f>
        <v/>
      </c>
      <c r="E163" s="14" t="str">
        <f>IF(C163="","",IFERROR(VLOOKUP(C163,'Item Master'!$B$3:$G$302,6,0),""))</f>
        <v/>
      </c>
      <c r="F163" s="19"/>
      <c r="G163" s="14"/>
      <c r="H163" s="14"/>
      <c r="I163" s="14"/>
      <c r="J163" s="14"/>
    </row>
    <row r="164" ht="15.75" customHeight="1">
      <c r="A164" s="14" t="str">
        <f t="shared" si="1"/>
        <v/>
      </c>
      <c r="B164" s="24"/>
      <c r="C164" s="14"/>
      <c r="D164" s="14" t="str">
        <f>IF(C164="","",IFERROR(VLOOKUP(C164,'Item Master'!$B$3:$C$302,2,0),"Unknown Code"))</f>
        <v/>
      </c>
      <c r="E164" s="14" t="str">
        <f>IF(C164="","",IFERROR(VLOOKUP(C164,'Item Master'!$B$3:$G$302,6,0),""))</f>
        <v/>
      </c>
      <c r="F164" s="19"/>
      <c r="G164" s="14"/>
      <c r="H164" s="14"/>
      <c r="I164" s="14"/>
      <c r="J164" s="14"/>
    </row>
    <row r="165" ht="15.75" customHeight="1">
      <c r="A165" s="14" t="str">
        <f t="shared" si="1"/>
        <v/>
      </c>
      <c r="B165" s="24"/>
      <c r="C165" s="14"/>
      <c r="D165" s="14" t="str">
        <f>IF(C165="","",IFERROR(VLOOKUP(C165,'Item Master'!$B$3:$C$302,2,0),"Unknown Code"))</f>
        <v/>
      </c>
      <c r="E165" s="14" t="str">
        <f>IF(C165="","",IFERROR(VLOOKUP(C165,'Item Master'!$B$3:$G$302,6,0),""))</f>
        <v/>
      </c>
      <c r="F165" s="19"/>
      <c r="G165" s="14"/>
      <c r="H165" s="14"/>
      <c r="I165" s="14"/>
      <c r="J165" s="14"/>
    </row>
    <row r="166" ht="15.75" customHeight="1">
      <c r="A166" s="14" t="str">
        <f t="shared" si="1"/>
        <v/>
      </c>
      <c r="B166" s="24"/>
      <c r="C166" s="14"/>
      <c r="D166" s="14" t="str">
        <f>IF(C166="","",IFERROR(VLOOKUP(C166,'Item Master'!$B$3:$C$302,2,0),"Unknown Code"))</f>
        <v/>
      </c>
      <c r="E166" s="14" t="str">
        <f>IF(C166="","",IFERROR(VLOOKUP(C166,'Item Master'!$B$3:$G$302,6,0),""))</f>
        <v/>
      </c>
      <c r="F166" s="19"/>
      <c r="G166" s="14"/>
      <c r="H166" s="14"/>
      <c r="I166" s="14"/>
      <c r="J166" s="14"/>
    </row>
    <row r="167" ht="15.75" customHeight="1">
      <c r="A167" s="14" t="str">
        <f t="shared" si="1"/>
        <v/>
      </c>
      <c r="B167" s="24"/>
      <c r="C167" s="14"/>
      <c r="D167" s="14" t="str">
        <f>IF(C167="","",IFERROR(VLOOKUP(C167,'Item Master'!$B$3:$C$302,2,0),"Unknown Code"))</f>
        <v/>
      </c>
      <c r="E167" s="14" t="str">
        <f>IF(C167="","",IFERROR(VLOOKUP(C167,'Item Master'!$B$3:$G$302,6,0),""))</f>
        <v/>
      </c>
      <c r="F167" s="19"/>
      <c r="G167" s="14"/>
      <c r="H167" s="14"/>
      <c r="I167" s="14"/>
      <c r="J167" s="14"/>
    </row>
    <row r="168" ht="15.75" customHeight="1">
      <c r="A168" s="14" t="str">
        <f t="shared" si="1"/>
        <v/>
      </c>
      <c r="B168" s="24"/>
      <c r="C168" s="14"/>
      <c r="D168" s="14" t="str">
        <f>IF(C168="","",IFERROR(VLOOKUP(C168,'Item Master'!$B$3:$C$302,2,0),"Unknown Code"))</f>
        <v/>
      </c>
      <c r="E168" s="14" t="str">
        <f>IF(C168="","",IFERROR(VLOOKUP(C168,'Item Master'!$B$3:$G$302,6,0),""))</f>
        <v/>
      </c>
      <c r="F168" s="19"/>
      <c r="G168" s="14"/>
      <c r="H168" s="14"/>
      <c r="I168" s="14"/>
      <c r="J168" s="14"/>
    </row>
    <row r="169" ht="15.75" customHeight="1">
      <c r="A169" s="14" t="str">
        <f t="shared" si="1"/>
        <v/>
      </c>
      <c r="B169" s="24"/>
      <c r="C169" s="14"/>
      <c r="D169" s="14" t="str">
        <f>IF(C169="","",IFERROR(VLOOKUP(C169,'Item Master'!$B$3:$C$302,2,0),"Unknown Code"))</f>
        <v/>
      </c>
      <c r="E169" s="14" t="str">
        <f>IF(C169="","",IFERROR(VLOOKUP(C169,'Item Master'!$B$3:$G$302,6,0),""))</f>
        <v/>
      </c>
      <c r="F169" s="19"/>
      <c r="G169" s="14"/>
      <c r="H169" s="14"/>
      <c r="I169" s="14"/>
      <c r="J169" s="14"/>
    </row>
    <row r="170" ht="15.75" customHeight="1">
      <c r="A170" s="14" t="str">
        <f t="shared" si="1"/>
        <v/>
      </c>
      <c r="B170" s="24"/>
      <c r="C170" s="14"/>
      <c r="D170" s="14" t="str">
        <f>IF(C170="","",IFERROR(VLOOKUP(C170,'Item Master'!$B$3:$C$302,2,0),"Unknown Code"))</f>
        <v/>
      </c>
      <c r="E170" s="14" t="str">
        <f>IF(C170="","",IFERROR(VLOOKUP(C170,'Item Master'!$B$3:$G$302,6,0),""))</f>
        <v/>
      </c>
      <c r="F170" s="19"/>
      <c r="G170" s="14"/>
      <c r="H170" s="14"/>
      <c r="I170" s="14"/>
      <c r="J170" s="14"/>
    </row>
    <row r="171" ht="15.75" customHeight="1">
      <c r="A171" s="14" t="str">
        <f t="shared" si="1"/>
        <v/>
      </c>
      <c r="B171" s="24"/>
      <c r="C171" s="14"/>
      <c r="D171" s="14" t="str">
        <f>IF(C171="","",IFERROR(VLOOKUP(C171,'Item Master'!$B$3:$C$302,2,0),"Unknown Code"))</f>
        <v/>
      </c>
      <c r="E171" s="14" t="str">
        <f>IF(C171="","",IFERROR(VLOOKUP(C171,'Item Master'!$B$3:$G$302,6,0),""))</f>
        <v/>
      </c>
      <c r="F171" s="19"/>
      <c r="G171" s="14"/>
      <c r="H171" s="14"/>
      <c r="I171" s="14"/>
      <c r="J171" s="14"/>
    </row>
    <row r="172" ht="15.75" customHeight="1">
      <c r="A172" s="14" t="str">
        <f t="shared" si="1"/>
        <v/>
      </c>
      <c r="B172" s="24"/>
      <c r="C172" s="14"/>
      <c r="D172" s="14" t="str">
        <f>IF(C172="","",IFERROR(VLOOKUP(C172,'Item Master'!$B$3:$C$302,2,0),"Unknown Code"))</f>
        <v/>
      </c>
      <c r="E172" s="14" t="str">
        <f>IF(C172="","",IFERROR(VLOOKUP(C172,'Item Master'!$B$3:$G$302,6,0),""))</f>
        <v/>
      </c>
      <c r="F172" s="19"/>
      <c r="G172" s="14"/>
      <c r="H172" s="14"/>
      <c r="I172" s="14"/>
      <c r="J172" s="14"/>
    </row>
    <row r="173" ht="15.75" customHeight="1">
      <c r="A173" s="14" t="str">
        <f t="shared" si="1"/>
        <v/>
      </c>
      <c r="B173" s="24"/>
      <c r="C173" s="14"/>
      <c r="D173" s="14" t="str">
        <f>IF(C173="","",IFERROR(VLOOKUP(C173,'Item Master'!$B$3:$C$302,2,0),"Unknown Code"))</f>
        <v/>
      </c>
      <c r="E173" s="14" t="str">
        <f>IF(C173="","",IFERROR(VLOOKUP(C173,'Item Master'!$B$3:$G$302,6,0),""))</f>
        <v/>
      </c>
      <c r="F173" s="19"/>
      <c r="G173" s="14"/>
      <c r="H173" s="14"/>
      <c r="I173" s="14"/>
      <c r="J173" s="14"/>
    </row>
    <row r="174" ht="15.75" customHeight="1">
      <c r="A174" s="14" t="str">
        <f t="shared" si="1"/>
        <v/>
      </c>
      <c r="B174" s="24"/>
      <c r="C174" s="14"/>
      <c r="D174" s="14" t="str">
        <f>IF(C174="","",IFERROR(VLOOKUP(C174,'Item Master'!$B$3:$C$302,2,0),"Unknown Code"))</f>
        <v/>
      </c>
      <c r="E174" s="14" t="str">
        <f>IF(C174="","",IFERROR(VLOOKUP(C174,'Item Master'!$B$3:$G$302,6,0),""))</f>
        <v/>
      </c>
      <c r="F174" s="19"/>
      <c r="G174" s="14"/>
      <c r="H174" s="14"/>
      <c r="I174" s="14"/>
      <c r="J174" s="14"/>
    </row>
    <row r="175" ht="15.75" customHeight="1">
      <c r="A175" s="14" t="str">
        <f t="shared" si="1"/>
        <v/>
      </c>
      <c r="B175" s="24"/>
      <c r="C175" s="14"/>
      <c r="D175" s="14" t="str">
        <f>IF(C175="","",IFERROR(VLOOKUP(C175,'Item Master'!$B$3:$C$302,2,0),"Unknown Code"))</f>
        <v/>
      </c>
      <c r="E175" s="14" t="str">
        <f>IF(C175="","",IFERROR(VLOOKUP(C175,'Item Master'!$B$3:$G$302,6,0),""))</f>
        <v/>
      </c>
      <c r="F175" s="19"/>
      <c r="G175" s="14"/>
      <c r="H175" s="14"/>
      <c r="I175" s="14"/>
      <c r="J175" s="14"/>
    </row>
    <row r="176" ht="15.75" customHeight="1">
      <c r="A176" s="14" t="str">
        <f t="shared" si="1"/>
        <v/>
      </c>
      <c r="B176" s="24"/>
      <c r="C176" s="14"/>
      <c r="D176" s="14" t="str">
        <f>IF(C176="","",IFERROR(VLOOKUP(C176,'Item Master'!$B$3:$C$302,2,0),"Unknown Code"))</f>
        <v/>
      </c>
      <c r="E176" s="14" t="str">
        <f>IF(C176="","",IFERROR(VLOOKUP(C176,'Item Master'!$B$3:$G$302,6,0),""))</f>
        <v/>
      </c>
      <c r="F176" s="19"/>
      <c r="G176" s="14"/>
      <c r="H176" s="14"/>
      <c r="I176" s="14"/>
      <c r="J176" s="14"/>
    </row>
    <row r="177" ht="15.75" customHeight="1">
      <c r="A177" s="14" t="str">
        <f t="shared" si="1"/>
        <v/>
      </c>
      <c r="B177" s="24"/>
      <c r="C177" s="14"/>
      <c r="D177" s="14" t="str">
        <f>IF(C177="","",IFERROR(VLOOKUP(C177,'Item Master'!$B$3:$C$302,2,0),"Unknown Code"))</f>
        <v/>
      </c>
      <c r="E177" s="14" t="str">
        <f>IF(C177="","",IFERROR(VLOOKUP(C177,'Item Master'!$B$3:$G$302,6,0),""))</f>
        <v/>
      </c>
      <c r="F177" s="19"/>
      <c r="G177" s="14"/>
      <c r="H177" s="14"/>
      <c r="I177" s="14"/>
      <c r="J177" s="14"/>
    </row>
    <row r="178" ht="15.75" customHeight="1">
      <c r="A178" s="14" t="str">
        <f t="shared" si="1"/>
        <v/>
      </c>
      <c r="B178" s="24"/>
      <c r="C178" s="14"/>
      <c r="D178" s="14" t="str">
        <f>IF(C178="","",IFERROR(VLOOKUP(C178,'Item Master'!$B$3:$C$302,2,0),"Unknown Code"))</f>
        <v/>
      </c>
      <c r="E178" s="14" t="str">
        <f>IF(C178="","",IFERROR(VLOOKUP(C178,'Item Master'!$B$3:$G$302,6,0),""))</f>
        <v/>
      </c>
      <c r="F178" s="19"/>
      <c r="G178" s="14"/>
      <c r="H178" s="14"/>
      <c r="I178" s="14"/>
      <c r="J178" s="14"/>
    </row>
    <row r="179" ht="15.75" customHeight="1">
      <c r="A179" s="14" t="str">
        <f t="shared" si="1"/>
        <v/>
      </c>
      <c r="B179" s="24"/>
      <c r="C179" s="14"/>
      <c r="D179" s="14" t="str">
        <f>IF(C179="","",IFERROR(VLOOKUP(C179,'Item Master'!$B$3:$C$302,2,0),"Unknown Code"))</f>
        <v/>
      </c>
      <c r="E179" s="14" t="str">
        <f>IF(C179="","",IFERROR(VLOOKUP(C179,'Item Master'!$B$3:$G$302,6,0),""))</f>
        <v/>
      </c>
      <c r="F179" s="19"/>
      <c r="G179" s="14"/>
      <c r="H179" s="14"/>
      <c r="I179" s="14"/>
      <c r="J179" s="14"/>
    </row>
    <row r="180" ht="15.75" customHeight="1">
      <c r="A180" s="14" t="str">
        <f t="shared" si="1"/>
        <v/>
      </c>
      <c r="B180" s="24"/>
      <c r="C180" s="14"/>
      <c r="D180" s="14" t="str">
        <f>IF(C180="","",IFERROR(VLOOKUP(C180,'Item Master'!$B$3:$C$302,2,0),"Unknown Code"))</f>
        <v/>
      </c>
      <c r="E180" s="14" t="str">
        <f>IF(C180="","",IFERROR(VLOOKUP(C180,'Item Master'!$B$3:$G$302,6,0),""))</f>
        <v/>
      </c>
      <c r="F180" s="19"/>
      <c r="G180" s="14"/>
      <c r="H180" s="14"/>
      <c r="I180" s="14"/>
      <c r="J180" s="14"/>
    </row>
    <row r="181" ht="15.75" customHeight="1">
      <c r="A181" s="14" t="str">
        <f t="shared" si="1"/>
        <v/>
      </c>
      <c r="B181" s="24"/>
      <c r="C181" s="14"/>
      <c r="D181" s="14" t="str">
        <f>IF(C181="","",IFERROR(VLOOKUP(C181,'Item Master'!$B$3:$C$302,2,0),"Unknown Code"))</f>
        <v/>
      </c>
      <c r="E181" s="14" t="str">
        <f>IF(C181="","",IFERROR(VLOOKUP(C181,'Item Master'!$B$3:$G$302,6,0),""))</f>
        <v/>
      </c>
      <c r="F181" s="19"/>
      <c r="G181" s="14"/>
      <c r="H181" s="14"/>
      <c r="I181" s="14"/>
      <c r="J181" s="14"/>
    </row>
    <row r="182" ht="15.75" customHeight="1">
      <c r="A182" s="14" t="str">
        <f t="shared" si="1"/>
        <v/>
      </c>
      <c r="B182" s="24"/>
      <c r="C182" s="14"/>
      <c r="D182" s="14" t="str">
        <f>IF(C182="","",IFERROR(VLOOKUP(C182,'Item Master'!$B$3:$C$302,2,0),"Unknown Code"))</f>
        <v/>
      </c>
      <c r="E182" s="14" t="str">
        <f>IF(C182="","",IFERROR(VLOOKUP(C182,'Item Master'!$B$3:$G$302,6,0),""))</f>
        <v/>
      </c>
      <c r="F182" s="19"/>
      <c r="G182" s="14"/>
      <c r="H182" s="14"/>
      <c r="I182" s="14"/>
      <c r="J182" s="14"/>
    </row>
    <row r="183" ht="15.75" customHeight="1">
      <c r="A183" s="14" t="str">
        <f t="shared" si="1"/>
        <v/>
      </c>
      <c r="B183" s="24"/>
      <c r="C183" s="14"/>
      <c r="D183" s="14" t="str">
        <f>IF(C183="","",IFERROR(VLOOKUP(C183,'Item Master'!$B$3:$C$302,2,0),"Unknown Code"))</f>
        <v/>
      </c>
      <c r="E183" s="14" t="str">
        <f>IF(C183="","",IFERROR(VLOOKUP(C183,'Item Master'!$B$3:$G$302,6,0),""))</f>
        <v/>
      </c>
      <c r="F183" s="19"/>
      <c r="G183" s="14"/>
      <c r="H183" s="14"/>
      <c r="I183" s="14"/>
      <c r="J183" s="14"/>
    </row>
    <row r="184" ht="15.75" customHeight="1">
      <c r="A184" s="14" t="str">
        <f t="shared" si="1"/>
        <v/>
      </c>
      <c r="B184" s="24"/>
      <c r="C184" s="14"/>
      <c r="D184" s="14" t="str">
        <f>IF(C184="","",IFERROR(VLOOKUP(C184,'Item Master'!$B$3:$C$302,2,0),"Unknown Code"))</f>
        <v/>
      </c>
      <c r="E184" s="14" t="str">
        <f>IF(C184="","",IFERROR(VLOOKUP(C184,'Item Master'!$B$3:$G$302,6,0),""))</f>
        <v/>
      </c>
      <c r="F184" s="19"/>
      <c r="G184" s="14"/>
      <c r="H184" s="14"/>
      <c r="I184" s="14"/>
      <c r="J184" s="14"/>
    </row>
    <row r="185" ht="15.75" customHeight="1">
      <c r="A185" s="14" t="str">
        <f t="shared" si="1"/>
        <v/>
      </c>
      <c r="B185" s="24"/>
      <c r="C185" s="14"/>
      <c r="D185" s="14" t="str">
        <f>IF(C185="","",IFERROR(VLOOKUP(C185,'Item Master'!$B$3:$C$302,2,0),"Unknown Code"))</f>
        <v/>
      </c>
      <c r="E185" s="14" t="str">
        <f>IF(C185="","",IFERROR(VLOOKUP(C185,'Item Master'!$B$3:$G$302,6,0),""))</f>
        <v/>
      </c>
      <c r="F185" s="19"/>
      <c r="G185" s="14"/>
      <c r="H185" s="14"/>
      <c r="I185" s="14"/>
      <c r="J185" s="14"/>
    </row>
    <row r="186" ht="15.75" customHeight="1">
      <c r="A186" s="14" t="str">
        <f t="shared" si="1"/>
        <v/>
      </c>
      <c r="B186" s="24"/>
      <c r="C186" s="14"/>
      <c r="D186" s="14" t="str">
        <f>IF(C186="","",IFERROR(VLOOKUP(C186,'Item Master'!$B$3:$C$302,2,0),"Unknown Code"))</f>
        <v/>
      </c>
      <c r="E186" s="14" t="str">
        <f>IF(C186="","",IFERROR(VLOOKUP(C186,'Item Master'!$B$3:$G$302,6,0),""))</f>
        <v/>
      </c>
      <c r="F186" s="19"/>
      <c r="G186" s="14"/>
      <c r="H186" s="14"/>
      <c r="I186" s="14"/>
      <c r="J186" s="14"/>
    </row>
    <row r="187" ht="15.75" customHeight="1">
      <c r="A187" s="14" t="str">
        <f t="shared" si="1"/>
        <v/>
      </c>
      <c r="B187" s="24"/>
      <c r="C187" s="14"/>
      <c r="D187" s="14" t="str">
        <f>IF(C187="","",IFERROR(VLOOKUP(C187,'Item Master'!$B$3:$C$302,2,0),"Unknown Code"))</f>
        <v/>
      </c>
      <c r="E187" s="14" t="str">
        <f>IF(C187="","",IFERROR(VLOOKUP(C187,'Item Master'!$B$3:$G$302,6,0),""))</f>
        <v/>
      </c>
      <c r="F187" s="19"/>
      <c r="G187" s="14"/>
      <c r="H187" s="14"/>
      <c r="I187" s="14"/>
      <c r="J187" s="14"/>
    </row>
    <row r="188" ht="15.75" customHeight="1">
      <c r="A188" s="14" t="str">
        <f t="shared" si="1"/>
        <v/>
      </c>
      <c r="B188" s="24"/>
      <c r="C188" s="14"/>
      <c r="D188" s="14" t="str">
        <f>IF(C188="","",IFERROR(VLOOKUP(C188,'Item Master'!$B$3:$C$302,2,0),"Unknown Code"))</f>
        <v/>
      </c>
      <c r="E188" s="14" t="str">
        <f>IF(C188="","",IFERROR(VLOOKUP(C188,'Item Master'!$B$3:$G$302,6,0),""))</f>
        <v/>
      </c>
      <c r="F188" s="19"/>
      <c r="G188" s="14"/>
      <c r="H188" s="14"/>
      <c r="I188" s="14"/>
      <c r="J188" s="14"/>
    </row>
    <row r="189" ht="15.75" customHeight="1">
      <c r="A189" s="14" t="str">
        <f t="shared" si="1"/>
        <v/>
      </c>
      <c r="B189" s="24"/>
      <c r="C189" s="14"/>
      <c r="D189" s="14" t="str">
        <f>IF(C189="","",IFERROR(VLOOKUP(C189,'Item Master'!$B$3:$C$302,2,0),"Unknown Code"))</f>
        <v/>
      </c>
      <c r="E189" s="14" t="str">
        <f>IF(C189="","",IFERROR(VLOOKUP(C189,'Item Master'!$B$3:$G$302,6,0),""))</f>
        <v/>
      </c>
      <c r="F189" s="19"/>
      <c r="G189" s="14"/>
      <c r="H189" s="14"/>
      <c r="I189" s="14"/>
      <c r="J189" s="14"/>
    </row>
    <row r="190" ht="15.75" customHeight="1">
      <c r="A190" s="14" t="str">
        <f t="shared" si="1"/>
        <v/>
      </c>
      <c r="B190" s="24"/>
      <c r="C190" s="14"/>
      <c r="D190" s="14" t="str">
        <f>IF(C190="","",IFERROR(VLOOKUP(C190,'Item Master'!$B$3:$C$302,2,0),"Unknown Code"))</f>
        <v/>
      </c>
      <c r="E190" s="14" t="str">
        <f>IF(C190="","",IFERROR(VLOOKUP(C190,'Item Master'!$B$3:$G$302,6,0),""))</f>
        <v/>
      </c>
      <c r="F190" s="19"/>
      <c r="G190" s="14"/>
      <c r="H190" s="14"/>
      <c r="I190" s="14"/>
      <c r="J190" s="14"/>
    </row>
    <row r="191" ht="15.75" customHeight="1">
      <c r="A191" s="14" t="str">
        <f t="shared" si="1"/>
        <v/>
      </c>
      <c r="B191" s="24"/>
      <c r="C191" s="14"/>
      <c r="D191" s="14" t="str">
        <f>IF(C191="","",IFERROR(VLOOKUP(C191,'Item Master'!$B$3:$C$302,2,0),"Unknown Code"))</f>
        <v/>
      </c>
      <c r="E191" s="14" t="str">
        <f>IF(C191="","",IFERROR(VLOOKUP(C191,'Item Master'!$B$3:$G$302,6,0),""))</f>
        <v/>
      </c>
      <c r="F191" s="19"/>
      <c r="G191" s="14"/>
      <c r="H191" s="14"/>
      <c r="I191" s="14"/>
      <c r="J191" s="14"/>
    </row>
    <row r="192" ht="15.75" customHeight="1">
      <c r="A192" s="14" t="str">
        <f t="shared" si="1"/>
        <v/>
      </c>
      <c r="B192" s="24"/>
      <c r="C192" s="14"/>
      <c r="D192" s="14" t="str">
        <f>IF(C192="","",IFERROR(VLOOKUP(C192,'Item Master'!$B$3:$C$302,2,0),"Unknown Code"))</f>
        <v/>
      </c>
      <c r="E192" s="14" t="str">
        <f>IF(C192="","",IFERROR(VLOOKUP(C192,'Item Master'!$B$3:$G$302,6,0),""))</f>
        <v/>
      </c>
      <c r="F192" s="19"/>
      <c r="G192" s="14"/>
      <c r="H192" s="14"/>
      <c r="I192" s="14"/>
      <c r="J192" s="14"/>
    </row>
    <row r="193" ht="15.75" customHeight="1">
      <c r="A193" s="14" t="str">
        <f t="shared" si="1"/>
        <v/>
      </c>
      <c r="B193" s="24"/>
      <c r="C193" s="14"/>
      <c r="D193" s="14" t="str">
        <f>IF(C193="","",IFERROR(VLOOKUP(C193,'Item Master'!$B$3:$C$302,2,0),"Unknown Code"))</f>
        <v/>
      </c>
      <c r="E193" s="14" t="str">
        <f>IF(C193="","",IFERROR(VLOOKUP(C193,'Item Master'!$B$3:$G$302,6,0),""))</f>
        <v/>
      </c>
      <c r="F193" s="19"/>
      <c r="G193" s="14"/>
      <c r="H193" s="14"/>
      <c r="I193" s="14"/>
      <c r="J193" s="14"/>
    </row>
    <row r="194" ht="15.75" customHeight="1">
      <c r="A194" s="14" t="str">
        <f t="shared" si="1"/>
        <v/>
      </c>
      <c r="B194" s="24"/>
      <c r="C194" s="14"/>
      <c r="D194" s="14" t="str">
        <f>IF(C194="","",IFERROR(VLOOKUP(C194,'Item Master'!$B$3:$C$302,2,0),"Unknown Code"))</f>
        <v/>
      </c>
      <c r="E194" s="14" t="str">
        <f>IF(C194="","",IFERROR(VLOOKUP(C194,'Item Master'!$B$3:$G$302,6,0),""))</f>
        <v/>
      </c>
      <c r="F194" s="19"/>
      <c r="G194" s="14"/>
      <c r="H194" s="14"/>
      <c r="I194" s="14"/>
      <c r="J194" s="14"/>
    </row>
    <row r="195" ht="15.75" customHeight="1">
      <c r="A195" s="14" t="str">
        <f t="shared" si="1"/>
        <v/>
      </c>
      <c r="B195" s="24"/>
      <c r="C195" s="14"/>
      <c r="D195" s="14" t="str">
        <f>IF(C195="","",IFERROR(VLOOKUP(C195,'Item Master'!$B$3:$C$302,2,0),"Unknown Code"))</f>
        <v/>
      </c>
      <c r="E195" s="14" t="str">
        <f>IF(C195="","",IFERROR(VLOOKUP(C195,'Item Master'!$B$3:$G$302,6,0),""))</f>
        <v/>
      </c>
      <c r="F195" s="19"/>
      <c r="G195" s="14"/>
      <c r="H195" s="14"/>
      <c r="I195" s="14"/>
      <c r="J195" s="14"/>
    </row>
    <row r="196" ht="15.75" customHeight="1">
      <c r="A196" s="14" t="str">
        <f t="shared" si="1"/>
        <v/>
      </c>
      <c r="B196" s="24"/>
      <c r="C196" s="14"/>
      <c r="D196" s="14" t="str">
        <f>IF(C196="","",IFERROR(VLOOKUP(C196,'Item Master'!$B$3:$C$302,2,0),"Unknown Code"))</f>
        <v/>
      </c>
      <c r="E196" s="14" t="str">
        <f>IF(C196="","",IFERROR(VLOOKUP(C196,'Item Master'!$B$3:$G$302,6,0),""))</f>
        <v/>
      </c>
      <c r="F196" s="19"/>
      <c r="G196" s="14"/>
      <c r="H196" s="14"/>
      <c r="I196" s="14"/>
      <c r="J196" s="14"/>
    </row>
    <row r="197" ht="15.75" customHeight="1">
      <c r="A197" s="14" t="str">
        <f t="shared" si="1"/>
        <v/>
      </c>
      <c r="B197" s="24"/>
      <c r="C197" s="14"/>
      <c r="D197" s="14" t="str">
        <f>IF(C197="","",IFERROR(VLOOKUP(C197,'Item Master'!$B$3:$C$302,2,0),"Unknown Code"))</f>
        <v/>
      </c>
      <c r="E197" s="14" t="str">
        <f>IF(C197="","",IFERROR(VLOOKUP(C197,'Item Master'!$B$3:$G$302,6,0),""))</f>
        <v/>
      </c>
      <c r="F197" s="19"/>
      <c r="G197" s="14"/>
      <c r="H197" s="14"/>
      <c r="I197" s="14"/>
      <c r="J197" s="14"/>
    </row>
    <row r="198" ht="15.75" customHeight="1">
      <c r="A198" s="14" t="str">
        <f t="shared" si="1"/>
        <v/>
      </c>
      <c r="B198" s="24"/>
      <c r="C198" s="14"/>
      <c r="D198" s="14" t="str">
        <f>IF(C198="","",IFERROR(VLOOKUP(C198,'Item Master'!$B$3:$C$302,2,0),"Unknown Code"))</f>
        <v/>
      </c>
      <c r="E198" s="14" t="str">
        <f>IF(C198="","",IFERROR(VLOOKUP(C198,'Item Master'!$B$3:$G$302,6,0),""))</f>
        <v/>
      </c>
      <c r="F198" s="19"/>
      <c r="G198" s="14"/>
      <c r="H198" s="14"/>
      <c r="I198" s="14"/>
      <c r="J198" s="14"/>
    </row>
    <row r="199" ht="15.75" customHeight="1">
      <c r="A199" s="14" t="str">
        <f t="shared" si="1"/>
        <v/>
      </c>
      <c r="B199" s="24"/>
      <c r="C199" s="14"/>
      <c r="D199" s="14" t="str">
        <f>IF(C199="","",IFERROR(VLOOKUP(C199,'Item Master'!$B$3:$C$302,2,0),"Unknown Code"))</f>
        <v/>
      </c>
      <c r="E199" s="14" t="str">
        <f>IF(C199="","",IFERROR(VLOOKUP(C199,'Item Master'!$B$3:$G$302,6,0),""))</f>
        <v/>
      </c>
      <c r="F199" s="19"/>
      <c r="G199" s="14"/>
      <c r="H199" s="14"/>
      <c r="I199" s="14"/>
      <c r="J199" s="14"/>
    </row>
    <row r="200" ht="15.75" customHeight="1">
      <c r="A200" s="14" t="str">
        <f t="shared" si="1"/>
        <v/>
      </c>
      <c r="B200" s="24"/>
      <c r="C200" s="14"/>
      <c r="D200" s="14" t="str">
        <f>IF(C200="","",IFERROR(VLOOKUP(C200,'Item Master'!$B$3:$C$302,2,0),"Unknown Code"))</f>
        <v/>
      </c>
      <c r="E200" s="14" t="str">
        <f>IF(C200="","",IFERROR(VLOOKUP(C200,'Item Master'!$B$3:$G$302,6,0),""))</f>
        <v/>
      </c>
      <c r="F200" s="19"/>
      <c r="G200" s="14"/>
      <c r="H200" s="14"/>
      <c r="I200" s="14"/>
      <c r="J200" s="14"/>
    </row>
    <row r="201" ht="15.75" customHeight="1">
      <c r="A201" s="14" t="str">
        <f t="shared" si="1"/>
        <v/>
      </c>
      <c r="B201" s="24"/>
      <c r="C201" s="14"/>
      <c r="D201" s="14" t="str">
        <f>IF(C201="","",IFERROR(VLOOKUP(C201,'Item Master'!$B$3:$C$302,2,0),"Unknown Code"))</f>
        <v/>
      </c>
      <c r="E201" s="14" t="str">
        <f>IF(C201="","",IFERROR(VLOOKUP(C201,'Item Master'!$B$3:$G$302,6,0),""))</f>
        <v/>
      </c>
      <c r="F201" s="19"/>
      <c r="G201" s="14"/>
      <c r="H201" s="14"/>
      <c r="I201" s="14"/>
      <c r="J201" s="14"/>
    </row>
    <row r="202" ht="15.75" customHeight="1">
      <c r="A202" s="14" t="str">
        <f t="shared" si="1"/>
        <v/>
      </c>
      <c r="B202" s="24"/>
      <c r="C202" s="14"/>
      <c r="D202" s="14" t="str">
        <f>IF(C202="","",IFERROR(VLOOKUP(C202,'Item Master'!$B$3:$C$302,2,0),"Unknown Code"))</f>
        <v/>
      </c>
      <c r="E202" s="14" t="str">
        <f>IF(C202="","",IFERROR(VLOOKUP(C202,'Item Master'!$B$3:$G$302,6,0),""))</f>
        <v/>
      </c>
      <c r="F202" s="19"/>
      <c r="G202" s="14"/>
      <c r="H202" s="14"/>
      <c r="I202" s="14"/>
      <c r="J202" s="14"/>
    </row>
    <row r="203" ht="15.75" customHeight="1">
      <c r="A203" s="14" t="str">
        <f t="shared" si="1"/>
        <v/>
      </c>
      <c r="B203" s="24"/>
      <c r="C203" s="14"/>
      <c r="D203" s="14" t="str">
        <f>IF(C203="","",IFERROR(VLOOKUP(C203,'Item Master'!$B$3:$C$302,2,0),"Unknown Code"))</f>
        <v/>
      </c>
      <c r="E203" s="14" t="str">
        <f>IF(C203="","",IFERROR(VLOOKUP(C203,'Item Master'!$B$3:$G$302,6,0),""))</f>
        <v/>
      </c>
      <c r="F203" s="19"/>
      <c r="G203" s="14"/>
      <c r="H203" s="14"/>
      <c r="I203" s="14"/>
      <c r="J203" s="14"/>
    </row>
    <row r="204" ht="15.75" customHeight="1">
      <c r="A204" s="14" t="str">
        <f t="shared" si="1"/>
        <v/>
      </c>
      <c r="B204" s="24"/>
      <c r="C204" s="14"/>
      <c r="D204" s="14" t="str">
        <f>IF(C204="","",IFERROR(VLOOKUP(C204,'Item Master'!$B$3:$C$302,2,0),"Unknown Code"))</f>
        <v/>
      </c>
      <c r="E204" s="14" t="str">
        <f>IF(C204="","",IFERROR(VLOOKUP(C204,'Item Master'!$B$3:$G$302,6,0),""))</f>
        <v/>
      </c>
      <c r="F204" s="19"/>
      <c r="G204" s="14"/>
      <c r="H204" s="14"/>
      <c r="I204" s="14"/>
      <c r="J204" s="14"/>
    </row>
    <row r="205" ht="15.75" customHeight="1">
      <c r="A205" s="14" t="str">
        <f t="shared" si="1"/>
        <v/>
      </c>
      <c r="B205" s="24"/>
      <c r="C205" s="14"/>
      <c r="D205" s="14" t="str">
        <f>IF(C205="","",IFERROR(VLOOKUP(C205,'Item Master'!$B$3:$C$302,2,0),"Unknown Code"))</f>
        <v/>
      </c>
      <c r="E205" s="14" t="str">
        <f>IF(C205="","",IFERROR(VLOOKUP(C205,'Item Master'!$B$3:$G$302,6,0),""))</f>
        <v/>
      </c>
      <c r="F205" s="19"/>
      <c r="G205" s="14"/>
      <c r="H205" s="14"/>
      <c r="I205" s="14"/>
      <c r="J205" s="14"/>
    </row>
    <row r="206" ht="15.75" customHeight="1">
      <c r="A206" s="14" t="str">
        <f t="shared" si="1"/>
        <v/>
      </c>
      <c r="B206" s="24"/>
      <c r="C206" s="14"/>
      <c r="D206" s="14" t="str">
        <f>IF(C206="","",IFERROR(VLOOKUP(C206,'Item Master'!$B$3:$C$302,2,0),"Unknown Code"))</f>
        <v/>
      </c>
      <c r="E206" s="14" t="str">
        <f>IF(C206="","",IFERROR(VLOOKUP(C206,'Item Master'!$B$3:$G$302,6,0),""))</f>
        <v/>
      </c>
      <c r="F206" s="19"/>
      <c r="G206" s="14"/>
      <c r="H206" s="14"/>
      <c r="I206" s="14"/>
      <c r="J206" s="14"/>
    </row>
    <row r="207" ht="15.75" customHeight="1">
      <c r="A207" s="14" t="str">
        <f t="shared" si="1"/>
        <v/>
      </c>
      <c r="B207" s="24"/>
      <c r="C207" s="14"/>
      <c r="D207" s="14" t="str">
        <f>IF(C207="","",IFERROR(VLOOKUP(C207,'Item Master'!$B$3:$C$302,2,0),"Unknown Code"))</f>
        <v/>
      </c>
      <c r="E207" s="14" t="str">
        <f>IF(C207="","",IFERROR(VLOOKUP(C207,'Item Master'!$B$3:$G$302,6,0),""))</f>
        <v/>
      </c>
      <c r="F207" s="19"/>
      <c r="G207" s="14"/>
      <c r="H207" s="14"/>
      <c r="I207" s="14"/>
      <c r="J207" s="14"/>
    </row>
    <row r="208" ht="15.75" customHeight="1">
      <c r="A208" s="14" t="str">
        <f t="shared" si="1"/>
        <v/>
      </c>
      <c r="B208" s="24"/>
      <c r="C208" s="14"/>
      <c r="D208" s="14" t="str">
        <f>IF(C208="","",IFERROR(VLOOKUP(C208,'Item Master'!$B$3:$C$302,2,0),"Unknown Code"))</f>
        <v/>
      </c>
      <c r="E208" s="14" t="str">
        <f>IF(C208="","",IFERROR(VLOOKUP(C208,'Item Master'!$B$3:$G$302,6,0),""))</f>
        <v/>
      </c>
      <c r="F208" s="19"/>
      <c r="G208" s="14"/>
      <c r="H208" s="14"/>
      <c r="I208" s="14"/>
      <c r="J208" s="14"/>
    </row>
    <row r="209" ht="15.75" customHeight="1">
      <c r="A209" s="14" t="str">
        <f t="shared" si="1"/>
        <v/>
      </c>
      <c r="B209" s="24"/>
      <c r="C209" s="14"/>
      <c r="D209" s="14" t="str">
        <f>IF(C209="","",IFERROR(VLOOKUP(C209,'Item Master'!$B$3:$C$302,2,0),"Unknown Code"))</f>
        <v/>
      </c>
      <c r="E209" s="14" t="str">
        <f>IF(C209="","",IFERROR(VLOOKUP(C209,'Item Master'!$B$3:$G$302,6,0),""))</f>
        <v/>
      </c>
      <c r="F209" s="19"/>
      <c r="G209" s="14"/>
      <c r="H209" s="14"/>
      <c r="I209" s="14"/>
      <c r="J209" s="14"/>
    </row>
    <row r="210" ht="15.75" customHeight="1">
      <c r="A210" s="14" t="str">
        <f t="shared" si="1"/>
        <v/>
      </c>
      <c r="B210" s="24"/>
      <c r="C210" s="14"/>
      <c r="D210" s="14" t="str">
        <f>IF(C210="","",IFERROR(VLOOKUP(C210,'Item Master'!$B$3:$C$302,2,0),"Unknown Code"))</f>
        <v/>
      </c>
      <c r="E210" s="14" t="str">
        <f>IF(C210="","",IFERROR(VLOOKUP(C210,'Item Master'!$B$3:$G$302,6,0),""))</f>
        <v/>
      </c>
      <c r="F210" s="19"/>
      <c r="G210" s="14"/>
      <c r="H210" s="14"/>
      <c r="I210" s="14"/>
      <c r="J210" s="14"/>
    </row>
    <row r="211" ht="15.75" customHeight="1">
      <c r="A211" s="14" t="str">
        <f t="shared" si="1"/>
        <v/>
      </c>
      <c r="B211" s="24"/>
      <c r="C211" s="14"/>
      <c r="D211" s="14" t="str">
        <f>IF(C211="","",IFERROR(VLOOKUP(C211,'Item Master'!$B$3:$C$302,2,0),"Unknown Code"))</f>
        <v/>
      </c>
      <c r="E211" s="14" t="str">
        <f>IF(C211="","",IFERROR(VLOOKUP(C211,'Item Master'!$B$3:$G$302,6,0),""))</f>
        <v/>
      </c>
      <c r="F211" s="19"/>
      <c r="G211" s="14"/>
      <c r="H211" s="14"/>
      <c r="I211" s="14"/>
      <c r="J211" s="14"/>
    </row>
    <row r="212" ht="15.75" customHeight="1">
      <c r="A212" s="14" t="str">
        <f t="shared" si="1"/>
        <v/>
      </c>
      <c r="B212" s="24"/>
      <c r="C212" s="14"/>
      <c r="D212" s="14" t="str">
        <f>IF(C212="","",IFERROR(VLOOKUP(C212,'Item Master'!$B$3:$C$302,2,0),"Unknown Code"))</f>
        <v/>
      </c>
      <c r="E212" s="14" t="str">
        <f>IF(C212="","",IFERROR(VLOOKUP(C212,'Item Master'!$B$3:$G$302,6,0),""))</f>
        <v/>
      </c>
      <c r="F212" s="19"/>
      <c r="G212" s="14"/>
      <c r="H212" s="14"/>
      <c r="I212" s="14"/>
      <c r="J212" s="14"/>
    </row>
    <row r="213" ht="15.75" customHeight="1">
      <c r="A213" s="14" t="str">
        <f t="shared" si="1"/>
        <v/>
      </c>
      <c r="B213" s="24"/>
      <c r="C213" s="14"/>
      <c r="D213" s="14" t="str">
        <f>IF(C213="","",IFERROR(VLOOKUP(C213,'Item Master'!$B$3:$C$302,2,0),"Unknown Code"))</f>
        <v/>
      </c>
      <c r="E213" s="14" t="str">
        <f>IF(C213="","",IFERROR(VLOOKUP(C213,'Item Master'!$B$3:$G$302,6,0),""))</f>
        <v/>
      </c>
      <c r="F213" s="19"/>
      <c r="G213" s="14"/>
      <c r="H213" s="14"/>
      <c r="I213" s="14"/>
      <c r="J213" s="14"/>
    </row>
    <row r="214" ht="15.75" customHeight="1">
      <c r="A214" s="14" t="str">
        <f t="shared" si="1"/>
        <v/>
      </c>
      <c r="B214" s="24"/>
      <c r="C214" s="14"/>
      <c r="D214" s="14" t="str">
        <f>IF(C214="","",IFERROR(VLOOKUP(C214,'Item Master'!$B$3:$C$302,2,0),"Unknown Code"))</f>
        <v/>
      </c>
      <c r="E214" s="14" t="str">
        <f>IF(C214="","",IFERROR(VLOOKUP(C214,'Item Master'!$B$3:$G$302,6,0),""))</f>
        <v/>
      </c>
      <c r="F214" s="19"/>
      <c r="G214" s="14"/>
      <c r="H214" s="14"/>
      <c r="I214" s="14"/>
      <c r="J214" s="14"/>
    </row>
    <row r="215" ht="15.75" customHeight="1">
      <c r="A215" s="14" t="str">
        <f t="shared" si="1"/>
        <v/>
      </c>
      <c r="B215" s="24"/>
      <c r="C215" s="14"/>
      <c r="D215" s="14" t="str">
        <f>IF(C215="","",IFERROR(VLOOKUP(C215,'Item Master'!$B$3:$C$302,2,0),"Unknown Code"))</f>
        <v/>
      </c>
      <c r="E215" s="14" t="str">
        <f>IF(C215="","",IFERROR(VLOOKUP(C215,'Item Master'!$B$3:$G$302,6,0),""))</f>
        <v/>
      </c>
      <c r="F215" s="19"/>
      <c r="G215" s="14"/>
      <c r="H215" s="14"/>
      <c r="I215" s="14"/>
      <c r="J215" s="14"/>
    </row>
    <row r="216" ht="15.75" customHeight="1">
      <c r="A216" s="14" t="str">
        <f t="shared" si="1"/>
        <v/>
      </c>
      <c r="B216" s="24"/>
      <c r="C216" s="14"/>
      <c r="D216" s="14" t="str">
        <f>IF(C216="","",IFERROR(VLOOKUP(C216,'Item Master'!$B$3:$C$302,2,0),"Unknown Code"))</f>
        <v/>
      </c>
      <c r="E216" s="14" t="str">
        <f>IF(C216="","",IFERROR(VLOOKUP(C216,'Item Master'!$B$3:$G$302,6,0),""))</f>
        <v/>
      </c>
      <c r="F216" s="19"/>
      <c r="G216" s="14"/>
      <c r="H216" s="14"/>
      <c r="I216" s="14"/>
      <c r="J216" s="14"/>
    </row>
    <row r="217" ht="15.75" customHeight="1">
      <c r="A217" s="14" t="str">
        <f t="shared" si="1"/>
        <v/>
      </c>
      <c r="B217" s="24"/>
      <c r="C217" s="14"/>
      <c r="D217" s="14" t="str">
        <f>IF(C217="","",IFERROR(VLOOKUP(C217,'Item Master'!$B$3:$C$302,2,0),"Unknown Code"))</f>
        <v/>
      </c>
      <c r="E217" s="14" t="str">
        <f>IF(C217="","",IFERROR(VLOOKUP(C217,'Item Master'!$B$3:$G$302,6,0),""))</f>
        <v/>
      </c>
      <c r="F217" s="19"/>
      <c r="G217" s="14"/>
      <c r="H217" s="14"/>
      <c r="I217" s="14"/>
      <c r="J217" s="14"/>
    </row>
    <row r="218" ht="15.75" customHeight="1">
      <c r="A218" s="14" t="str">
        <f t="shared" si="1"/>
        <v/>
      </c>
      <c r="B218" s="24"/>
      <c r="C218" s="14"/>
      <c r="D218" s="14" t="str">
        <f>IF(C218="","",IFERROR(VLOOKUP(C218,'Item Master'!$B$3:$C$302,2,0),"Unknown Code"))</f>
        <v/>
      </c>
      <c r="E218" s="14" t="str">
        <f>IF(C218="","",IFERROR(VLOOKUP(C218,'Item Master'!$B$3:$G$302,6,0),""))</f>
        <v/>
      </c>
      <c r="F218" s="19"/>
      <c r="G218" s="14"/>
      <c r="H218" s="14"/>
      <c r="I218" s="14"/>
      <c r="J218" s="14"/>
    </row>
    <row r="219" ht="15.75" customHeight="1">
      <c r="A219" s="14" t="str">
        <f t="shared" si="1"/>
        <v/>
      </c>
      <c r="B219" s="24"/>
      <c r="C219" s="14"/>
      <c r="D219" s="14" t="str">
        <f>IF(C219="","",IFERROR(VLOOKUP(C219,'Item Master'!$B$3:$C$302,2,0),"Unknown Code"))</f>
        <v/>
      </c>
      <c r="E219" s="14" t="str">
        <f>IF(C219="","",IFERROR(VLOOKUP(C219,'Item Master'!$B$3:$G$302,6,0),""))</f>
        <v/>
      </c>
      <c r="F219" s="19"/>
      <c r="G219" s="14"/>
      <c r="H219" s="14"/>
      <c r="I219" s="14"/>
      <c r="J219" s="14"/>
    </row>
    <row r="220" ht="15.75" customHeight="1">
      <c r="A220" s="14" t="str">
        <f t="shared" si="1"/>
        <v/>
      </c>
      <c r="B220" s="24"/>
      <c r="C220" s="14"/>
      <c r="D220" s="14" t="str">
        <f>IF(C220="","",IFERROR(VLOOKUP(C220,'Item Master'!$B$3:$C$302,2,0),"Unknown Code"))</f>
        <v/>
      </c>
      <c r="E220" s="14" t="str">
        <f>IF(C220="","",IFERROR(VLOOKUP(C220,'Item Master'!$B$3:$G$302,6,0),""))</f>
        <v/>
      </c>
      <c r="F220" s="19"/>
      <c r="G220" s="14"/>
      <c r="H220" s="14"/>
      <c r="I220" s="14"/>
      <c r="J220" s="14"/>
    </row>
    <row r="221" ht="15.75" customHeight="1">
      <c r="A221" s="14" t="str">
        <f t="shared" si="1"/>
        <v/>
      </c>
      <c r="B221" s="24"/>
      <c r="C221" s="14"/>
      <c r="D221" s="14" t="str">
        <f>IF(C221="","",IFERROR(VLOOKUP(C221,'Item Master'!$B$3:$C$302,2,0),"Unknown Code"))</f>
        <v/>
      </c>
      <c r="E221" s="14" t="str">
        <f>IF(C221="","",IFERROR(VLOOKUP(C221,'Item Master'!$B$3:$G$302,6,0),""))</f>
        <v/>
      </c>
      <c r="F221" s="19"/>
      <c r="G221" s="14"/>
      <c r="H221" s="14"/>
      <c r="I221" s="14"/>
      <c r="J221" s="14"/>
    </row>
    <row r="222" ht="15.75" customHeight="1">
      <c r="A222" s="14" t="str">
        <f t="shared" si="1"/>
        <v/>
      </c>
      <c r="B222" s="24"/>
      <c r="C222" s="14"/>
      <c r="D222" s="14" t="str">
        <f>IF(C222="","",IFERROR(VLOOKUP(C222,'Item Master'!$B$3:$C$302,2,0),"Unknown Code"))</f>
        <v/>
      </c>
      <c r="E222" s="14" t="str">
        <f>IF(C222="","",IFERROR(VLOOKUP(C222,'Item Master'!$B$3:$G$302,6,0),""))</f>
        <v/>
      </c>
      <c r="F222" s="19"/>
      <c r="G222" s="14"/>
      <c r="H222" s="14"/>
      <c r="I222" s="14"/>
      <c r="J222" s="14"/>
    </row>
    <row r="223" ht="15.75" customHeight="1">
      <c r="A223" s="14" t="str">
        <f t="shared" si="1"/>
        <v/>
      </c>
      <c r="B223" s="24"/>
      <c r="C223" s="14"/>
      <c r="D223" s="14" t="str">
        <f>IF(C223="","",IFERROR(VLOOKUP(C223,'Item Master'!$B$3:$C$302,2,0),"Unknown Code"))</f>
        <v/>
      </c>
      <c r="E223" s="14" t="str">
        <f>IF(C223="","",IFERROR(VLOOKUP(C223,'Item Master'!$B$3:$G$302,6,0),""))</f>
        <v/>
      </c>
      <c r="F223" s="19"/>
      <c r="G223" s="14"/>
      <c r="H223" s="14"/>
      <c r="I223" s="14"/>
      <c r="J223" s="14"/>
    </row>
    <row r="224" ht="15.75" customHeight="1">
      <c r="A224" s="14" t="str">
        <f t="shared" si="1"/>
        <v/>
      </c>
      <c r="B224" s="24"/>
      <c r="C224" s="14"/>
      <c r="D224" s="14" t="str">
        <f>IF(C224="","",IFERROR(VLOOKUP(C224,'Item Master'!$B$3:$C$302,2,0),"Unknown Code"))</f>
        <v/>
      </c>
      <c r="E224" s="14" t="str">
        <f>IF(C224="","",IFERROR(VLOOKUP(C224,'Item Master'!$B$3:$G$302,6,0),""))</f>
        <v/>
      </c>
      <c r="F224" s="19"/>
      <c r="G224" s="14"/>
      <c r="H224" s="14"/>
      <c r="I224" s="14"/>
      <c r="J224" s="14"/>
    </row>
    <row r="225" ht="15.75" customHeight="1">
      <c r="A225" s="14" t="str">
        <f t="shared" si="1"/>
        <v/>
      </c>
      <c r="B225" s="24"/>
      <c r="C225" s="14"/>
      <c r="D225" s="14" t="str">
        <f>IF(C225="","",IFERROR(VLOOKUP(C225,'Item Master'!$B$3:$C$302,2,0),"Unknown Code"))</f>
        <v/>
      </c>
      <c r="E225" s="14" t="str">
        <f>IF(C225="","",IFERROR(VLOOKUP(C225,'Item Master'!$B$3:$G$302,6,0),""))</f>
        <v/>
      </c>
      <c r="F225" s="19"/>
      <c r="G225" s="14"/>
      <c r="H225" s="14"/>
      <c r="I225" s="14"/>
      <c r="J225" s="14"/>
    </row>
    <row r="226" ht="15.75" customHeight="1">
      <c r="A226" s="14" t="str">
        <f t="shared" si="1"/>
        <v/>
      </c>
      <c r="B226" s="24"/>
      <c r="C226" s="14"/>
      <c r="D226" s="14" t="str">
        <f>IF(C226="","",IFERROR(VLOOKUP(C226,'Item Master'!$B$3:$C$302,2,0),"Unknown Code"))</f>
        <v/>
      </c>
      <c r="E226" s="14" t="str">
        <f>IF(C226="","",IFERROR(VLOOKUP(C226,'Item Master'!$B$3:$G$302,6,0),""))</f>
        <v/>
      </c>
      <c r="F226" s="19"/>
      <c r="G226" s="14"/>
      <c r="H226" s="14"/>
      <c r="I226" s="14"/>
      <c r="J226" s="14"/>
    </row>
    <row r="227" ht="15.75" customHeight="1">
      <c r="A227" s="14" t="str">
        <f t="shared" si="1"/>
        <v/>
      </c>
      <c r="B227" s="24"/>
      <c r="C227" s="14"/>
      <c r="D227" s="14" t="str">
        <f>IF(C227="","",IFERROR(VLOOKUP(C227,'Item Master'!$B$3:$C$302,2,0),"Unknown Code"))</f>
        <v/>
      </c>
      <c r="E227" s="14" t="str">
        <f>IF(C227="","",IFERROR(VLOOKUP(C227,'Item Master'!$B$3:$G$302,6,0),""))</f>
        <v/>
      </c>
      <c r="F227" s="19"/>
      <c r="G227" s="14"/>
      <c r="H227" s="14"/>
      <c r="I227" s="14"/>
      <c r="J227" s="14"/>
    </row>
    <row r="228" ht="15.75" customHeight="1">
      <c r="A228" s="14" t="str">
        <f t="shared" si="1"/>
        <v/>
      </c>
      <c r="B228" s="24"/>
      <c r="C228" s="14"/>
      <c r="D228" s="14" t="str">
        <f>IF(C228="","",IFERROR(VLOOKUP(C228,'Item Master'!$B$3:$C$302,2,0),"Unknown Code"))</f>
        <v/>
      </c>
      <c r="E228" s="14" t="str">
        <f>IF(C228="","",IFERROR(VLOOKUP(C228,'Item Master'!$B$3:$G$302,6,0),""))</f>
        <v/>
      </c>
      <c r="F228" s="19"/>
      <c r="G228" s="14"/>
      <c r="H228" s="14"/>
      <c r="I228" s="14"/>
      <c r="J228" s="14"/>
    </row>
    <row r="229" ht="15.75" customHeight="1">
      <c r="A229" s="14" t="str">
        <f t="shared" si="1"/>
        <v/>
      </c>
      <c r="B229" s="24"/>
      <c r="C229" s="14"/>
      <c r="D229" s="14" t="str">
        <f>IF(C229="","",IFERROR(VLOOKUP(C229,'Item Master'!$B$3:$C$302,2,0),"Unknown Code"))</f>
        <v/>
      </c>
      <c r="E229" s="14" t="str">
        <f>IF(C229="","",IFERROR(VLOOKUP(C229,'Item Master'!$B$3:$G$302,6,0),""))</f>
        <v/>
      </c>
      <c r="F229" s="19"/>
      <c r="G229" s="14"/>
      <c r="H229" s="14"/>
      <c r="I229" s="14"/>
      <c r="J229" s="14"/>
    </row>
    <row r="230" ht="15.75" customHeight="1">
      <c r="A230" s="14" t="str">
        <f t="shared" si="1"/>
        <v/>
      </c>
      <c r="B230" s="24"/>
      <c r="C230" s="14"/>
      <c r="D230" s="14" t="str">
        <f>IF(C230="","",IFERROR(VLOOKUP(C230,'Item Master'!$B$3:$C$302,2,0),"Unknown Code"))</f>
        <v/>
      </c>
      <c r="E230" s="14" t="str">
        <f>IF(C230="","",IFERROR(VLOOKUP(C230,'Item Master'!$B$3:$G$302,6,0),""))</f>
        <v/>
      </c>
      <c r="F230" s="19"/>
      <c r="G230" s="14"/>
      <c r="H230" s="14"/>
      <c r="I230" s="14"/>
      <c r="J230" s="14"/>
    </row>
    <row r="231" ht="15.75" customHeight="1">
      <c r="A231" s="14" t="str">
        <f t="shared" si="1"/>
        <v/>
      </c>
      <c r="B231" s="24"/>
      <c r="C231" s="14"/>
      <c r="D231" s="14" t="str">
        <f>IF(C231="","",IFERROR(VLOOKUP(C231,'Item Master'!$B$3:$C$302,2,0),"Unknown Code"))</f>
        <v/>
      </c>
      <c r="E231" s="14" t="str">
        <f>IF(C231="","",IFERROR(VLOOKUP(C231,'Item Master'!$B$3:$G$302,6,0),""))</f>
        <v/>
      </c>
      <c r="F231" s="19"/>
      <c r="G231" s="14"/>
      <c r="H231" s="14"/>
      <c r="I231" s="14"/>
      <c r="J231" s="14"/>
    </row>
    <row r="232" ht="15.75" customHeight="1">
      <c r="A232" s="14" t="str">
        <f t="shared" si="1"/>
        <v/>
      </c>
      <c r="B232" s="24"/>
      <c r="C232" s="14"/>
      <c r="D232" s="14" t="str">
        <f>IF(C232="","",IFERROR(VLOOKUP(C232,'Item Master'!$B$3:$C$302,2,0),"Unknown Code"))</f>
        <v/>
      </c>
      <c r="E232" s="14" t="str">
        <f>IF(C232="","",IFERROR(VLOOKUP(C232,'Item Master'!$B$3:$G$302,6,0),""))</f>
        <v/>
      </c>
      <c r="F232" s="19"/>
      <c r="G232" s="14"/>
      <c r="H232" s="14"/>
      <c r="I232" s="14"/>
      <c r="J232" s="14"/>
    </row>
    <row r="233" ht="15.75" customHeight="1">
      <c r="A233" s="14" t="str">
        <f t="shared" si="1"/>
        <v/>
      </c>
      <c r="B233" s="24"/>
      <c r="C233" s="14"/>
      <c r="D233" s="14" t="str">
        <f>IF(C233="","",IFERROR(VLOOKUP(C233,'Item Master'!$B$3:$C$302,2,0),"Unknown Code"))</f>
        <v/>
      </c>
      <c r="E233" s="14" t="str">
        <f>IF(C233="","",IFERROR(VLOOKUP(C233,'Item Master'!$B$3:$G$302,6,0),""))</f>
        <v/>
      </c>
      <c r="F233" s="19"/>
      <c r="G233" s="14"/>
      <c r="H233" s="14"/>
      <c r="I233" s="14"/>
      <c r="J233" s="14"/>
    </row>
    <row r="234" ht="15.75" customHeight="1">
      <c r="A234" s="14" t="str">
        <f t="shared" si="1"/>
        <v/>
      </c>
      <c r="B234" s="24"/>
      <c r="C234" s="14"/>
      <c r="D234" s="14" t="str">
        <f>IF(C234="","",IFERROR(VLOOKUP(C234,'Item Master'!$B$3:$C$302,2,0),"Unknown Code"))</f>
        <v/>
      </c>
      <c r="E234" s="14" t="str">
        <f>IF(C234="","",IFERROR(VLOOKUP(C234,'Item Master'!$B$3:$G$302,6,0),""))</f>
        <v/>
      </c>
      <c r="F234" s="19"/>
      <c r="G234" s="14"/>
      <c r="H234" s="14"/>
      <c r="I234" s="14"/>
      <c r="J234" s="14"/>
    </row>
    <row r="235" ht="15.75" customHeight="1">
      <c r="A235" s="14" t="str">
        <f t="shared" si="1"/>
        <v/>
      </c>
      <c r="B235" s="24"/>
      <c r="C235" s="14"/>
      <c r="D235" s="14" t="str">
        <f>IF(C235="","",IFERROR(VLOOKUP(C235,'Item Master'!$B$3:$C$302,2,0),"Unknown Code"))</f>
        <v/>
      </c>
      <c r="E235" s="14" t="str">
        <f>IF(C235="","",IFERROR(VLOOKUP(C235,'Item Master'!$B$3:$G$302,6,0),""))</f>
        <v/>
      </c>
      <c r="F235" s="19"/>
      <c r="G235" s="14"/>
      <c r="H235" s="14"/>
      <c r="I235" s="14"/>
      <c r="J235" s="14"/>
    </row>
    <row r="236" ht="15.75" customHeight="1">
      <c r="A236" s="14" t="str">
        <f t="shared" si="1"/>
        <v/>
      </c>
      <c r="B236" s="24"/>
      <c r="C236" s="14"/>
      <c r="D236" s="14" t="str">
        <f>IF(C236="","",IFERROR(VLOOKUP(C236,'Item Master'!$B$3:$C$302,2,0),"Unknown Code"))</f>
        <v/>
      </c>
      <c r="E236" s="14" t="str">
        <f>IF(C236="","",IFERROR(VLOOKUP(C236,'Item Master'!$B$3:$G$302,6,0),""))</f>
        <v/>
      </c>
      <c r="F236" s="19"/>
      <c r="G236" s="14"/>
      <c r="H236" s="14"/>
      <c r="I236" s="14"/>
      <c r="J236" s="14"/>
    </row>
    <row r="237" ht="15.75" customHeight="1">
      <c r="A237" s="14" t="str">
        <f t="shared" si="1"/>
        <v/>
      </c>
      <c r="B237" s="24"/>
      <c r="C237" s="14"/>
      <c r="D237" s="14" t="str">
        <f>IF(C237="","",IFERROR(VLOOKUP(C237,'Item Master'!$B$3:$C$302,2,0),"Unknown Code"))</f>
        <v/>
      </c>
      <c r="E237" s="14" t="str">
        <f>IF(C237="","",IFERROR(VLOOKUP(C237,'Item Master'!$B$3:$G$302,6,0),""))</f>
        <v/>
      </c>
      <c r="F237" s="19"/>
      <c r="G237" s="14"/>
      <c r="H237" s="14"/>
      <c r="I237" s="14"/>
      <c r="J237" s="14"/>
    </row>
    <row r="238" ht="15.75" customHeight="1">
      <c r="A238" s="14" t="str">
        <f t="shared" si="1"/>
        <v/>
      </c>
      <c r="B238" s="24"/>
      <c r="C238" s="14"/>
      <c r="D238" s="14" t="str">
        <f>IF(C238="","",IFERROR(VLOOKUP(C238,'Item Master'!$B$3:$C$302,2,0),"Unknown Code"))</f>
        <v/>
      </c>
      <c r="E238" s="14" t="str">
        <f>IF(C238="","",IFERROR(VLOOKUP(C238,'Item Master'!$B$3:$G$302,6,0),""))</f>
        <v/>
      </c>
      <c r="F238" s="19"/>
      <c r="G238" s="14"/>
      <c r="H238" s="14"/>
      <c r="I238" s="14"/>
      <c r="J238" s="14"/>
    </row>
    <row r="239" ht="15.75" customHeight="1">
      <c r="A239" s="14" t="str">
        <f t="shared" si="1"/>
        <v/>
      </c>
      <c r="B239" s="24"/>
      <c r="C239" s="14"/>
      <c r="D239" s="14" t="str">
        <f>IF(C239="","",IFERROR(VLOOKUP(C239,'Item Master'!$B$3:$C$302,2,0),"Unknown Code"))</f>
        <v/>
      </c>
      <c r="E239" s="14" t="str">
        <f>IF(C239="","",IFERROR(VLOOKUP(C239,'Item Master'!$B$3:$G$302,6,0),""))</f>
        <v/>
      </c>
      <c r="F239" s="19"/>
      <c r="G239" s="14"/>
      <c r="H239" s="14"/>
      <c r="I239" s="14"/>
      <c r="J239" s="14"/>
    </row>
    <row r="240" ht="15.75" customHeight="1">
      <c r="A240" s="14" t="str">
        <f t="shared" si="1"/>
        <v/>
      </c>
      <c r="B240" s="24"/>
      <c r="C240" s="14"/>
      <c r="D240" s="14" t="str">
        <f>IF(C240="","",IFERROR(VLOOKUP(C240,'Item Master'!$B$3:$C$302,2,0),"Unknown Code"))</f>
        <v/>
      </c>
      <c r="E240" s="14" t="str">
        <f>IF(C240="","",IFERROR(VLOOKUP(C240,'Item Master'!$B$3:$G$302,6,0),""))</f>
        <v/>
      </c>
      <c r="F240" s="19"/>
      <c r="G240" s="14"/>
      <c r="H240" s="14"/>
      <c r="I240" s="14"/>
      <c r="J240" s="14"/>
    </row>
    <row r="241" ht="15.75" customHeight="1">
      <c r="A241" s="14" t="str">
        <f t="shared" si="1"/>
        <v/>
      </c>
      <c r="B241" s="24"/>
      <c r="C241" s="14"/>
      <c r="D241" s="14" t="str">
        <f>IF(C241="","",IFERROR(VLOOKUP(C241,'Item Master'!$B$3:$C$302,2,0),"Unknown Code"))</f>
        <v/>
      </c>
      <c r="E241" s="14" t="str">
        <f>IF(C241="","",IFERROR(VLOOKUP(C241,'Item Master'!$B$3:$G$302,6,0),""))</f>
        <v/>
      </c>
      <c r="F241" s="19"/>
      <c r="G241" s="14"/>
      <c r="H241" s="14"/>
      <c r="I241" s="14"/>
      <c r="J241" s="14"/>
    </row>
    <row r="242" ht="15.75" customHeight="1">
      <c r="A242" s="14" t="str">
        <f t="shared" si="1"/>
        <v/>
      </c>
      <c r="B242" s="24"/>
      <c r="C242" s="14"/>
      <c r="D242" s="14" t="str">
        <f>IF(C242="","",IFERROR(VLOOKUP(C242,'Item Master'!$B$3:$C$302,2,0),"Unknown Code"))</f>
        <v/>
      </c>
      <c r="E242" s="14" t="str">
        <f>IF(C242="","",IFERROR(VLOOKUP(C242,'Item Master'!$B$3:$G$302,6,0),""))</f>
        <v/>
      </c>
      <c r="F242" s="19"/>
      <c r="G242" s="14"/>
      <c r="H242" s="14"/>
      <c r="I242" s="14"/>
      <c r="J242" s="14"/>
    </row>
    <row r="243" ht="15.75" customHeight="1">
      <c r="A243" s="14" t="str">
        <f t="shared" si="1"/>
        <v/>
      </c>
      <c r="B243" s="24"/>
      <c r="C243" s="14"/>
      <c r="D243" s="14" t="str">
        <f>IF(C243="","",IFERROR(VLOOKUP(C243,'Item Master'!$B$3:$C$302,2,0),"Unknown Code"))</f>
        <v/>
      </c>
      <c r="E243" s="14" t="str">
        <f>IF(C243="","",IFERROR(VLOOKUP(C243,'Item Master'!$B$3:$G$302,6,0),""))</f>
        <v/>
      </c>
      <c r="F243" s="19"/>
      <c r="G243" s="14"/>
      <c r="H243" s="14"/>
      <c r="I243" s="14"/>
      <c r="J243" s="14"/>
    </row>
    <row r="244" ht="15.75" customHeight="1">
      <c r="A244" s="14" t="str">
        <f t="shared" si="1"/>
        <v/>
      </c>
      <c r="B244" s="24"/>
      <c r="C244" s="14"/>
      <c r="D244" s="14" t="str">
        <f>IF(C244="","",IFERROR(VLOOKUP(C244,'Item Master'!$B$3:$C$302,2,0),"Unknown Code"))</f>
        <v/>
      </c>
      <c r="E244" s="14" t="str">
        <f>IF(C244="","",IFERROR(VLOOKUP(C244,'Item Master'!$B$3:$G$302,6,0),""))</f>
        <v/>
      </c>
      <c r="F244" s="19"/>
      <c r="G244" s="14"/>
      <c r="H244" s="14"/>
      <c r="I244" s="14"/>
      <c r="J244" s="14"/>
    </row>
    <row r="245" ht="15.75" customHeight="1">
      <c r="A245" s="14" t="str">
        <f t="shared" si="1"/>
        <v/>
      </c>
      <c r="B245" s="24"/>
      <c r="C245" s="14"/>
      <c r="D245" s="14" t="str">
        <f>IF(C245="","",IFERROR(VLOOKUP(C245,'Item Master'!$B$3:$C$302,2,0),"Unknown Code"))</f>
        <v/>
      </c>
      <c r="E245" s="14" t="str">
        <f>IF(C245="","",IFERROR(VLOOKUP(C245,'Item Master'!$B$3:$G$302,6,0),""))</f>
        <v/>
      </c>
      <c r="F245" s="19"/>
      <c r="G245" s="14"/>
      <c r="H245" s="14"/>
      <c r="I245" s="14"/>
      <c r="J245" s="14"/>
    </row>
    <row r="246" ht="15.75" customHeight="1">
      <c r="A246" s="14" t="str">
        <f t="shared" si="1"/>
        <v/>
      </c>
      <c r="B246" s="24"/>
      <c r="C246" s="14"/>
      <c r="D246" s="14" t="str">
        <f>IF(C246="","",IFERROR(VLOOKUP(C246,'Item Master'!$B$3:$C$302,2,0),"Unknown Code"))</f>
        <v/>
      </c>
      <c r="E246" s="14" t="str">
        <f>IF(C246="","",IFERROR(VLOOKUP(C246,'Item Master'!$B$3:$G$302,6,0),""))</f>
        <v/>
      </c>
      <c r="F246" s="19"/>
      <c r="G246" s="14"/>
      <c r="H246" s="14"/>
      <c r="I246" s="14"/>
      <c r="J246" s="14"/>
    </row>
    <row r="247" ht="15.75" customHeight="1">
      <c r="A247" s="14" t="str">
        <f t="shared" si="1"/>
        <v/>
      </c>
      <c r="B247" s="24"/>
      <c r="C247" s="14"/>
      <c r="D247" s="14" t="str">
        <f>IF(C247="","",IFERROR(VLOOKUP(C247,'Item Master'!$B$3:$C$302,2,0),"Unknown Code"))</f>
        <v/>
      </c>
      <c r="E247" s="14" t="str">
        <f>IF(C247="","",IFERROR(VLOOKUP(C247,'Item Master'!$B$3:$G$302,6,0),""))</f>
        <v/>
      </c>
      <c r="F247" s="19"/>
      <c r="G247" s="14"/>
      <c r="H247" s="14"/>
      <c r="I247" s="14"/>
      <c r="J247" s="14"/>
    </row>
    <row r="248" ht="15.75" customHeight="1">
      <c r="A248" s="14" t="str">
        <f t="shared" si="1"/>
        <v/>
      </c>
      <c r="B248" s="24"/>
      <c r="C248" s="14"/>
      <c r="D248" s="14" t="str">
        <f>IF(C248="","",IFERROR(VLOOKUP(C248,'Item Master'!$B$3:$C$302,2,0),"Unknown Code"))</f>
        <v/>
      </c>
      <c r="E248" s="14" t="str">
        <f>IF(C248="","",IFERROR(VLOOKUP(C248,'Item Master'!$B$3:$G$302,6,0),""))</f>
        <v/>
      </c>
      <c r="F248" s="19"/>
      <c r="G248" s="14"/>
      <c r="H248" s="14"/>
      <c r="I248" s="14"/>
      <c r="J248" s="14"/>
    </row>
    <row r="249" ht="15.75" customHeight="1">
      <c r="A249" s="14" t="str">
        <f t="shared" si="1"/>
        <v/>
      </c>
      <c r="B249" s="24"/>
      <c r="C249" s="14"/>
      <c r="D249" s="14" t="str">
        <f>IF(C249="","",IFERROR(VLOOKUP(C249,'Item Master'!$B$3:$C$302,2,0),"Unknown Code"))</f>
        <v/>
      </c>
      <c r="E249" s="14" t="str">
        <f>IF(C249="","",IFERROR(VLOOKUP(C249,'Item Master'!$B$3:$G$302,6,0),""))</f>
        <v/>
      </c>
      <c r="F249" s="19"/>
      <c r="G249" s="14"/>
      <c r="H249" s="14"/>
      <c r="I249" s="14"/>
      <c r="J249" s="14"/>
    </row>
    <row r="250" ht="15.75" customHeight="1">
      <c r="A250" s="14" t="str">
        <f t="shared" si="1"/>
        <v/>
      </c>
      <c r="B250" s="24"/>
      <c r="C250" s="14"/>
      <c r="D250" s="14" t="str">
        <f>IF(C250="","",IFERROR(VLOOKUP(C250,'Item Master'!$B$3:$C$302,2,0),"Unknown Code"))</f>
        <v/>
      </c>
      <c r="E250" s="14" t="str">
        <f>IF(C250="","",IFERROR(VLOOKUP(C250,'Item Master'!$B$3:$G$302,6,0),""))</f>
        <v/>
      </c>
      <c r="F250" s="19"/>
      <c r="G250" s="14"/>
      <c r="H250" s="14"/>
      <c r="I250" s="14"/>
      <c r="J250" s="14"/>
    </row>
    <row r="251" ht="15.75" customHeight="1">
      <c r="A251" s="14" t="str">
        <f t="shared" si="1"/>
        <v/>
      </c>
      <c r="B251" s="24"/>
      <c r="C251" s="14"/>
      <c r="D251" s="14" t="str">
        <f>IF(C251="","",IFERROR(VLOOKUP(C251,'Item Master'!$B$3:$C$302,2,0),"Unknown Code"))</f>
        <v/>
      </c>
      <c r="E251" s="14" t="str">
        <f>IF(C251="","",IFERROR(VLOOKUP(C251,'Item Master'!$B$3:$G$302,6,0),""))</f>
        <v/>
      </c>
      <c r="F251" s="19"/>
      <c r="G251" s="14"/>
      <c r="H251" s="14"/>
      <c r="I251" s="14"/>
      <c r="J251" s="14"/>
    </row>
    <row r="252" ht="15.75" customHeight="1">
      <c r="A252" s="14" t="str">
        <f t="shared" si="1"/>
        <v/>
      </c>
      <c r="B252" s="24"/>
      <c r="C252" s="14"/>
      <c r="D252" s="14" t="str">
        <f>IF(C252="","",IFERROR(VLOOKUP(C252,'Item Master'!$B$3:$C$302,2,0),"Unknown Code"))</f>
        <v/>
      </c>
      <c r="E252" s="14" t="str">
        <f>IF(C252="","",IFERROR(VLOOKUP(C252,'Item Master'!$B$3:$G$302,6,0),""))</f>
        <v/>
      </c>
      <c r="F252" s="19"/>
      <c r="G252" s="14"/>
      <c r="H252" s="14"/>
      <c r="I252" s="14"/>
      <c r="J252" s="14"/>
    </row>
    <row r="253" ht="15.75" customHeight="1">
      <c r="A253" s="14" t="str">
        <f t="shared" si="1"/>
        <v/>
      </c>
      <c r="B253" s="24"/>
      <c r="C253" s="14"/>
      <c r="D253" s="14" t="str">
        <f>IF(C253="","",IFERROR(VLOOKUP(C253,'Item Master'!$B$3:$C$302,2,0),"Unknown Code"))</f>
        <v/>
      </c>
      <c r="E253" s="14" t="str">
        <f>IF(C253="","",IFERROR(VLOOKUP(C253,'Item Master'!$B$3:$G$302,6,0),""))</f>
        <v/>
      </c>
      <c r="F253" s="19"/>
      <c r="G253" s="14"/>
      <c r="H253" s="14"/>
      <c r="I253" s="14"/>
      <c r="J253" s="14"/>
    </row>
    <row r="254" ht="15.75" customHeight="1">
      <c r="A254" s="14" t="str">
        <f t="shared" si="1"/>
        <v/>
      </c>
      <c r="B254" s="24"/>
      <c r="C254" s="14"/>
      <c r="D254" s="14" t="str">
        <f>IF(C254="","",IFERROR(VLOOKUP(C254,'Item Master'!$B$3:$C$302,2,0),"Unknown Code"))</f>
        <v/>
      </c>
      <c r="E254" s="14" t="str">
        <f>IF(C254="","",IFERROR(VLOOKUP(C254,'Item Master'!$B$3:$G$302,6,0),""))</f>
        <v/>
      </c>
      <c r="F254" s="19"/>
      <c r="G254" s="14"/>
      <c r="H254" s="14"/>
      <c r="I254" s="14"/>
      <c r="J254" s="14"/>
    </row>
    <row r="255" ht="15.75" customHeight="1">
      <c r="A255" s="14" t="str">
        <f t="shared" si="1"/>
        <v/>
      </c>
      <c r="B255" s="24"/>
      <c r="C255" s="14"/>
      <c r="D255" s="14" t="str">
        <f>IF(C255="","",IFERROR(VLOOKUP(C255,'Item Master'!$B$3:$C$302,2,0),"Unknown Code"))</f>
        <v/>
      </c>
      <c r="E255" s="14" t="str">
        <f>IF(C255="","",IFERROR(VLOOKUP(C255,'Item Master'!$B$3:$G$302,6,0),""))</f>
        <v/>
      </c>
      <c r="F255" s="19"/>
      <c r="G255" s="14"/>
      <c r="H255" s="14"/>
      <c r="I255" s="14"/>
      <c r="J255" s="14"/>
    </row>
    <row r="256" ht="15.75" customHeight="1">
      <c r="A256" s="14" t="str">
        <f t="shared" si="1"/>
        <v/>
      </c>
      <c r="B256" s="24"/>
      <c r="C256" s="14"/>
      <c r="D256" s="14" t="str">
        <f>IF(C256="","",IFERROR(VLOOKUP(C256,'Item Master'!$B$3:$C$302,2,0),"Unknown Code"))</f>
        <v/>
      </c>
      <c r="E256" s="14" t="str">
        <f>IF(C256="","",IFERROR(VLOOKUP(C256,'Item Master'!$B$3:$G$302,6,0),""))</f>
        <v/>
      </c>
      <c r="F256" s="19"/>
      <c r="G256" s="14"/>
      <c r="H256" s="14"/>
      <c r="I256" s="14"/>
      <c r="J256" s="14"/>
    </row>
    <row r="257" ht="15.75" customHeight="1">
      <c r="A257" s="14" t="str">
        <f t="shared" si="1"/>
        <v/>
      </c>
      <c r="B257" s="24"/>
      <c r="C257" s="14"/>
      <c r="D257" s="14" t="str">
        <f>IF(C257="","",IFERROR(VLOOKUP(C257,'Item Master'!$B$3:$C$302,2,0),"Unknown Code"))</f>
        <v/>
      </c>
      <c r="E257" s="14" t="str">
        <f>IF(C257="","",IFERROR(VLOOKUP(C257,'Item Master'!$B$3:$G$302,6,0),""))</f>
        <v/>
      </c>
      <c r="F257" s="19"/>
      <c r="G257" s="14"/>
      <c r="H257" s="14"/>
      <c r="I257" s="14"/>
      <c r="J257" s="14"/>
    </row>
    <row r="258" ht="15.75" customHeight="1">
      <c r="A258" s="14" t="str">
        <f t="shared" si="1"/>
        <v/>
      </c>
      <c r="B258" s="24"/>
      <c r="C258" s="14"/>
      <c r="D258" s="14" t="str">
        <f>IF(C258="","",IFERROR(VLOOKUP(C258,'Item Master'!$B$3:$C$302,2,0),"Unknown Code"))</f>
        <v/>
      </c>
      <c r="E258" s="14" t="str">
        <f>IF(C258="","",IFERROR(VLOOKUP(C258,'Item Master'!$B$3:$G$302,6,0),""))</f>
        <v/>
      </c>
      <c r="F258" s="19"/>
      <c r="G258" s="14"/>
      <c r="H258" s="14"/>
      <c r="I258" s="14"/>
      <c r="J258" s="14"/>
    </row>
    <row r="259" ht="15.75" customHeight="1">
      <c r="A259" s="14" t="str">
        <f t="shared" si="1"/>
        <v/>
      </c>
      <c r="B259" s="24"/>
      <c r="C259" s="14"/>
      <c r="D259" s="14" t="str">
        <f>IF(C259="","",IFERROR(VLOOKUP(C259,'Item Master'!$B$3:$C$302,2,0),"Unknown Code"))</f>
        <v/>
      </c>
      <c r="E259" s="14" t="str">
        <f>IF(C259="","",IFERROR(VLOOKUP(C259,'Item Master'!$B$3:$G$302,6,0),""))</f>
        <v/>
      </c>
      <c r="F259" s="19"/>
      <c r="G259" s="14"/>
      <c r="H259" s="14"/>
      <c r="I259" s="14"/>
      <c r="J259" s="14"/>
    </row>
    <row r="260" ht="15.75" customHeight="1">
      <c r="A260" s="14" t="str">
        <f t="shared" si="1"/>
        <v/>
      </c>
      <c r="B260" s="24"/>
      <c r="C260" s="14"/>
      <c r="D260" s="14" t="str">
        <f>IF(C260="","",IFERROR(VLOOKUP(C260,'Item Master'!$B$3:$C$302,2,0),"Unknown Code"))</f>
        <v/>
      </c>
      <c r="E260" s="14" t="str">
        <f>IF(C260="","",IFERROR(VLOOKUP(C260,'Item Master'!$B$3:$G$302,6,0),""))</f>
        <v/>
      </c>
      <c r="F260" s="19"/>
      <c r="G260" s="14"/>
      <c r="H260" s="14"/>
      <c r="I260" s="14"/>
      <c r="J260" s="14"/>
    </row>
    <row r="261" ht="15.75" customHeight="1">
      <c r="A261" s="14" t="str">
        <f t="shared" si="1"/>
        <v/>
      </c>
      <c r="B261" s="24"/>
      <c r="C261" s="14"/>
      <c r="D261" s="14" t="str">
        <f>IF(C261="","",IFERROR(VLOOKUP(C261,'Item Master'!$B$3:$C$302,2,0),"Unknown Code"))</f>
        <v/>
      </c>
      <c r="E261" s="14" t="str">
        <f>IF(C261="","",IFERROR(VLOOKUP(C261,'Item Master'!$B$3:$G$302,6,0),""))</f>
        <v/>
      </c>
      <c r="F261" s="19"/>
      <c r="G261" s="14"/>
      <c r="H261" s="14"/>
      <c r="I261" s="14"/>
      <c r="J261" s="14"/>
    </row>
    <row r="262" ht="15.75" customHeight="1">
      <c r="A262" s="14" t="str">
        <f t="shared" si="1"/>
        <v/>
      </c>
      <c r="B262" s="24"/>
      <c r="C262" s="14"/>
      <c r="D262" s="14" t="str">
        <f>IF(C262="","",IFERROR(VLOOKUP(C262,'Item Master'!$B$3:$C$302,2,0),"Unknown Code"))</f>
        <v/>
      </c>
      <c r="E262" s="14" t="str">
        <f>IF(C262="","",IFERROR(VLOOKUP(C262,'Item Master'!$B$3:$G$302,6,0),""))</f>
        <v/>
      </c>
      <c r="F262" s="19"/>
      <c r="G262" s="14"/>
      <c r="H262" s="14"/>
      <c r="I262" s="14"/>
      <c r="J262" s="14"/>
    </row>
    <row r="263" ht="15.75" customHeight="1">
      <c r="A263" s="14" t="str">
        <f t="shared" si="1"/>
        <v/>
      </c>
      <c r="B263" s="24"/>
      <c r="C263" s="14"/>
      <c r="D263" s="14" t="str">
        <f>IF(C263="","",IFERROR(VLOOKUP(C263,'Item Master'!$B$3:$C$302,2,0),"Unknown Code"))</f>
        <v/>
      </c>
      <c r="E263" s="14" t="str">
        <f>IF(C263="","",IFERROR(VLOOKUP(C263,'Item Master'!$B$3:$G$302,6,0),""))</f>
        <v/>
      </c>
      <c r="F263" s="19"/>
      <c r="G263" s="14"/>
      <c r="H263" s="14"/>
      <c r="I263" s="14"/>
      <c r="J263" s="14"/>
    </row>
    <row r="264" ht="15.75" customHeight="1">
      <c r="A264" s="14" t="str">
        <f t="shared" si="1"/>
        <v/>
      </c>
      <c r="B264" s="24"/>
      <c r="C264" s="14"/>
      <c r="D264" s="14" t="str">
        <f>IF(C264="","",IFERROR(VLOOKUP(C264,'Item Master'!$B$3:$C$302,2,0),"Unknown Code"))</f>
        <v/>
      </c>
      <c r="E264" s="14" t="str">
        <f>IF(C264="","",IFERROR(VLOOKUP(C264,'Item Master'!$B$3:$G$302,6,0),""))</f>
        <v/>
      </c>
      <c r="F264" s="19"/>
      <c r="G264" s="14"/>
      <c r="H264" s="14"/>
      <c r="I264" s="14"/>
      <c r="J264" s="14"/>
    </row>
    <row r="265" ht="15.75" customHeight="1">
      <c r="A265" s="14" t="str">
        <f t="shared" si="1"/>
        <v/>
      </c>
      <c r="B265" s="24"/>
      <c r="C265" s="14"/>
      <c r="D265" s="14" t="str">
        <f>IF(C265="","",IFERROR(VLOOKUP(C265,'Item Master'!$B$3:$C$302,2,0),"Unknown Code"))</f>
        <v/>
      </c>
      <c r="E265" s="14" t="str">
        <f>IF(C265="","",IFERROR(VLOOKUP(C265,'Item Master'!$B$3:$G$302,6,0),""))</f>
        <v/>
      </c>
      <c r="F265" s="19"/>
      <c r="G265" s="14"/>
      <c r="H265" s="14"/>
      <c r="I265" s="14"/>
      <c r="J265" s="14"/>
    </row>
    <row r="266" ht="15.75" customHeight="1">
      <c r="A266" s="14" t="str">
        <f t="shared" si="1"/>
        <v/>
      </c>
      <c r="B266" s="24"/>
      <c r="C266" s="14"/>
      <c r="D266" s="14" t="str">
        <f>IF(C266="","",IFERROR(VLOOKUP(C266,'Item Master'!$B$3:$C$302,2,0),"Unknown Code"))</f>
        <v/>
      </c>
      <c r="E266" s="14" t="str">
        <f>IF(C266="","",IFERROR(VLOOKUP(C266,'Item Master'!$B$3:$G$302,6,0),""))</f>
        <v/>
      </c>
      <c r="F266" s="19"/>
      <c r="G266" s="14"/>
      <c r="H266" s="14"/>
      <c r="I266" s="14"/>
      <c r="J266" s="14"/>
    </row>
    <row r="267" ht="15.75" customHeight="1">
      <c r="A267" s="14" t="str">
        <f t="shared" si="1"/>
        <v/>
      </c>
      <c r="B267" s="24"/>
      <c r="C267" s="14"/>
      <c r="D267" s="14" t="str">
        <f>IF(C267="","",IFERROR(VLOOKUP(C267,'Item Master'!$B$3:$C$302,2,0),"Unknown Code"))</f>
        <v/>
      </c>
      <c r="E267" s="14" t="str">
        <f>IF(C267="","",IFERROR(VLOOKUP(C267,'Item Master'!$B$3:$G$302,6,0),""))</f>
        <v/>
      </c>
      <c r="F267" s="19"/>
      <c r="G267" s="14"/>
      <c r="H267" s="14"/>
      <c r="I267" s="14"/>
      <c r="J267" s="14"/>
    </row>
    <row r="268" ht="15.75" customHeight="1">
      <c r="A268" s="14" t="str">
        <f t="shared" si="1"/>
        <v/>
      </c>
      <c r="B268" s="24"/>
      <c r="C268" s="14"/>
      <c r="D268" s="14" t="str">
        <f>IF(C268="","",IFERROR(VLOOKUP(C268,'Item Master'!$B$3:$C$302,2,0),"Unknown Code"))</f>
        <v/>
      </c>
      <c r="E268" s="14" t="str">
        <f>IF(C268="","",IFERROR(VLOOKUP(C268,'Item Master'!$B$3:$G$302,6,0),""))</f>
        <v/>
      </c>
      <c r="F268" s="19"/>
      <c r="G268" s="14"/>
      <c r="H268" s="14"/>
      <c r="I268" s="14"/>
      <c r="J268" s="14"/>
    </row>
    <row r="269" ht="15.75" customHeight="1">
      <c r="A269" s="14" t="str">
        <f t="shared" si="1"/>
        <v/>
      </c>
      <c r="B269" s="24"/>
      <c r="C269" s="14"/>
      <c r="D269" s="14" t="str">
        <f>IF(C269="","",IFERROR(VLOOKUP(C269,'Item Master'!$B$3:$C$302,2,0),"Unknown Code"))</f>
        <v/>
      </c>
      <c r="E269" s="14" t="str">
        <f>IF(C269="","",IFERROR(VLOOKUP(C269,'Item Master'!$B$3:$G$302,6,0),""))</f>
        <v/>
      </c>
      <c r="F269" s="19"/>
      <c r="G269" s="14"/>
      <c r="H269" s="14"/>
      <c r="I269" s="14"/>
      <c r="J269" s="14"/>
    </row>
    <row r="270" ht="15.75" customHeight="1">
      <c r="A270" s="14" t="str">
        <f t="shared" si="1"/>
        <v/>
      </c>
      <c r="B270" s="24"/>
      <c r="C270" s="14"/>
      <c r="D270" s="14" t="str">
        <f>IF(C270="","",IFERROR(VLOOKUP(C270,'Item Master'!$B$3:$C$302,2,0),"Unknown Code"))</f>
        <v/>
      </c>
      <c r="E270" s="14" t="str">
        <f>IF(C270="","",IFERROR(VLOOKUP(C270,'Item Master'!$B$3:$G$302,6,0),""))</f>
        <v/>
      </c>
      <c r="F270" s="19"/>
      <c r="G270" s="14"/>
      <c r="H270" s="14"/>
      <c r="I270" s="14"/>
      <c r="J270" s="14"/>
    </row>
    <row r="271" ht="15.75" customHeight="1">
      <c r="A271" s="14" t="str">
        <f t="shared" si="1"/>
        <v/>
      </c>
      <c r="B271" s="24"/>
      <c r="C271" s="14"/>
      <c r="D271" s="14" t="str">
        <f>IF(C271="","",IFERROR(VLOOKUP(C271,'Item Master'!$B$3:$C$302,2,0),"Unknown Code"))</f>
        <v/>
      </c>
      <c r="E271" s="14" t="str">
        <f>IF(C271="","",IFERROR(VLOOKUP(C271,'Item Master'!$B$3:$G$302,6,0),""))</f>
        <v/>
      </c>
      <c r="F271" s="19"/>
      <c r="G271" s="14"/>
      <c r="H271" s="14"/>
      <c r="I271" s="14"/>
      <c r="J271" s="14"/>
    </row>
    <row r="272" ht="15.75" customHeight="1">
      <c r="A272" s="14" t="str">
        <f t="shared" si="1"/>
        <v/>
      </c>
      <c r="B272" s="24"/>
      <c r="C272" s="14"/>
      <c r="D272" s="14" t="str">
        <f>IF(C272="","",IFERROR(VLOOKUP(C272,'Item Master'!$B$3:$C$302,2,0),"Unknown Code"))</f>
        <v/>
      </c>
      <c r="E272" s="14" t="str">
        <f>IF(C272="","",IFERROR(VLOOKUP(C272,'Item Master'!$B$3:$G$302,6,0),""))</f>
        <v/>
      </c>
      <c r="F272" s="19"/>
      <c r="G272" s="14"/>
      <c r="H272" s="14"/>
      <c r="I272" s="14"/>
      <c r="J272" s="14"/>
    </row>
    <row r="273" ht="15.75" customHeight="1">
      <c r="A273" s="14" t="str">
        <f t="shared" si="1"/>
        <v/>
      </c>
      <c r="B273" s="24"/>
      <c r="C273" s="14"/>
      <c r="D273" s="14" t="str">
        <f>IF(C273="","",IFERROR(VLOOKUP(C273,'Item Master'!$B$3:$C$302,2,0),"Unknown Code"))</f>
        <v/>
      </c>
      <c r="E273" s="14" t="str">
        <f>IF(C273="","",IFERROR(VLOOKUP(C273,'Item Master'!$B$3:$G$302,6,0),""))</f>
        <v/>
      </c>
      <c r="F273" s="19"/>
      <c r="G273" s="14"/>
      <c r="H273" s="14"/>
      <c r="I273" s="14"/>
      <c r="J273" s="14"/>
    </row>
    <row r="274" ht="15.75" customHeight="1">
      <c r="A274" s="14" t="str">
        <f t="shared" si="1"/>
        <v/>
      </c>
      <c r="B274" s="24"/>
      <c r="C274" s="14"/>
      <c r="D274" s="14" t="str">
        <f>IF(C274="","",IFERROR(VLOOKUP(C274,'Item Master'!$B$3:$C$302,2,0),"Unknown Code"))</f>
        <v/>
      </c>
      <c r="E274" s="14" t="str">
        <f>IF(C274="","",IFERROR(VLOOKUP(C274,'Item Master'!$B$3:$G$302,6,0),""))</f>
        <v/>
      </c>
      <c r="F274" s="19"/>
      <c r="G274" s="14"/>
      <c r="H274" s="14"/>
      <c r="I274" s="14"/>
      <c r="J274" s="14"/>
    </row>
    <row r="275" ht="15.75" customHeight="1">
      <c r="A275" s="14" t="str">
        <f t="shared" si="1"/>
        <v/>
      </c>
      <c r="B275" s="24"/>
      <c r="C275" s="14"/>
      <c r="D275" s="14" t="str">
        <f>IF(C275="","",IFERROR(VLOOKUP(C275,'Item Master'!$B$3:$C$302,2,0),"Unknown Code"))</f>
        <v/>
      </c>
      <c r="E275" s="14" t="str">
        <f>IF(C275="","",IFERROR(VLOOKUP(C275,'Item Master'!$B$3:$G$302,6,0),""))</f>
        <v/>
      </c>
      <c r="F275" s="19"/>
      <c r="G275" s="14"/>
      <c r="H275" s="14"/>
      <c r="I275" s="14"/>
      <c r="J275" s="14"/>
    </row>
    <row r="276" ht="15.75" customHeight="1">
      <c r="A276" s="14" t="str">
        <f t="shared" si="1"/>
        <v/>
      </c>
      <c r="B276" s="24"/>
      <c r="C276" s="14"/>
      <c r="D276" s="14" t="str">
        <f>IF(C276="","",IFERROR(VLOOKUP(C276,'Item Master'!$B$3:$C$302,2,0),"Unknown Code"))</f>
        <v/>
      </c>
      <c r="E276" s="14" t="str">
        <f>IF(C276="","",IFERROR(VLOOKUP(C276,'Item Master'!$B$3:$G$302,6,0),""))</f>
        <v/>
      </c>
      <c r="F276" s="19"/>
      <c r="G276" s="14"/>
      <c r="H276" s="14"/>
      <c r="I276" s="14"/>
      <c r="J276" s="14"/>
    </row>
    <row r="277" ht="15.75" customHeight="1">
      <c r="A277" s="14" t="str">
        <f t="shared" si="1"/>
        <v/>
      </c>
      <c r="B277" s="24"/>
      <c r="C277" s="14"/>
      <c r="D277" s="14" t="str">
        <f>IF(C277="","",IFERROR(VLOOKUP(C277,'Item Master'!$B$3:$C$302,2,0),"Unknown Code"))</f>
        <v/>
      </c>
      <c r="E277" s="14" t="str">
        <f>IF(C277="","",IFERROR(VLOOKUP(C277,'Item Master'!$B$3:$G$302,6,0),""))</f>
        <v/>
      </c>
      <c r="F277" s="19"/>
      <c r="G277" s="14"/>
      <c r="H277" s="14"/>
      <c r="I277" s="14"/>
      <c r="J277" s="14"/>
    </row>
    <row r="278" ht="15.75" customHeight="1">
      <c r="A278" s="14" t="str">
        <f t="shared" si="1"/>
        <v/>
      </c>
      <c r="B278" s="24"/>
      <c r="C278" s="14"/>
      <c r="D278" s="14" t="str">
        <f>IF(C278="","",IFERROR(VLOOKUP(C278,'Item Master'!$B$3:$C$302,2,0),"Unknown Code"))</f>
        <v/>
      </c>
      <c r="E278" s="14" t="str">
        <f>IF(C278="","",IFERROR(VLOOKUP(C278,'Item Master'!$B$3:$G$302,6,0),""))</f>
        <v/>
      </c>
      <c r="F278" s="19"/>
      <c r="G278" s="14"/>
      <c r="H278" s="14"/>
      <c r="I278" s="14"/>
      <c r="J278" s="14"/>
    </row>
    <row r="279" ht="15.75" customHeight="1">
      <c r="A279" s="14" t="str">
        <f t="shared" si="1"/>
        <v/>
      </c>
      <c r="B279" s="24"/>
      <c r="C279" s="14"/>
      <c r="D279" s="14" t="str">
        <f>IF(C279="","",IFERROR(VLOOKUP(C279,'Item Master'!$B$3:$C$302,2,0),"Unknown Code"))</f>
        <v/>
      </c>
      <c r="E279" s="14" t="str">
        <f>IF(C279="","",IFERROR(VLOOKUP(C279,'Item Master'!$B$3:$G$302,6,0),""))</f>
        <v/>
      </c>
      <c r="F279" s="19"/>
      <c r="G279" s="14"/>
      <c r="H279" s="14"/>
      <c r="I279" s="14"/>
      <c r="J279" s="14"/>
    </row>
    <row r="280" ht="15.75" customHeight="1">
      <c r="A280" s="14" t="str">
        <f t="shared" si="1"/>
        <v/>
      </c>
      <c r="B280" s="24"/>
      <c r="C280" s="14"/>
      <c r="D280" s="14" t="str">
        <f>IF(C280="","",IFERROR(VLOOKUP(C280,'Item Master'!$B$3:$C$302,2,0),"Unknown Code"))</f>
        <v/>
      </c>
      <c r="E280" s="14" t="str">
        <f>IF(C280="","",IFERROR(VLOOKUP(C280,'Item Master'!$B$3:$G$302,6,0),""))</f>
        <v/>
      </c>
      <c r="F280" s="19"/>
      <c r="G280" s="14"/>
      <c r="H280" s="14"/>
      <c r="I280" s="14"/>
      <c r="J280" s="14"/>
    </row>
    <row r="281" ht="15.75" customHeight="1">
      <c r="A281" s="14" t="str">
        <f t="shared" si="1"/>
        <v/>
      </c>
      <c r="B281" s="24"/>
      <c r="C281" s="14"/>
      <c r="D281" s="14" t="str">
        <f>IF(C281="","",IFERROR(VLOOKUP(C281,'Item Master'!$B$3:$C$302,2,0),"Unknown Code"))</f>
        <v/>
      </c>
      <c r="E281" s="14" t="str">
        <f>IF(C281="","",IFERROR(VLOOKUP(C281,'Item Master'!$B$3:$G$302,6,0),""))</f>
        <v/>
      </c>
      <c r="F281" s="19"/>
      <c r="G281" s="14"/>
      <c r="H281" s="14"/>
      <c r="I281" s="14"/>
      <c r="J281" s="14"/>
    </row>
    <row r="282" ht="15.75" customHeight="1">
      <c r="A282" s="14" t="str">
        <f t="shared" si="1"/>
        <v/>
      </c>
      <c r="B282" s="24"/>
      <c r="C282" s="14"/>
      <c r="D282" s="14" t="str">
        <f>IF(C282="","",IFERROR(VLOOKUP(C282,'Item Master'!$B$3:$C$302,2,0),"Unknown Code"))</f>
        <v/>
      </c>
      <c r="E282" s="14" t="str">
        <f>IF(C282="","",IFERROR(VLOOKUP(C282,'Item Master'!$B$3:$G$302,6,0),""))</f>
        <v/>
      </c>
      <c r="F282" s="19"/>
      <c r="G282" s="14"/>
      <c r="H282" s="14"/>
      <c r="I282" s="14"/>
      <c r="J282" s="14"/>
    </row>
    <row r="283" ht="15.75" customHeight="1">
      <c r="A283" s="14" t="str">
        <f t="shared" si="1"/>
        <v/>
      </c>
      <c r="B283" s="24"/>
      <c r="C283" s="14"/>
      <c r="D283" s="14" t="str">
        <f>IF(C283="","",IFERROR(VLOOKUP(C283,'Item Master'!$B$3:$C$302,2,0),"Unknown Code"))</f>
        <v/>
      </c>
      <c r="E283" s="14" t="str">
        <f>IF(C283="","",IFERROR(VLOOKUP(C283,'Item Master'!$B$3:$G$302,6,0),""))</f>
        <v/>
      </c>
      <c r="F283" s="19"/>
      <c r="G283" s="14"/>
      <c r="H283" s="14"/>
      <c r="I283" s="14"/>
      <c r="J283" s="14"/>
    </row>
    <row r="284" ht="15.75" customHeight="1">
      <c r="A284" s="14" t="str">
        <f t="shared" si="1"/>
        <v/>
      </c>
      <c r="B284" s="24"/>
      <c r="C284" s="14"/>
      <c r="D284" s="14" t="str">
        <f>IF(C284="","",IFERROR(VLOOKUP(C284,'Item Master'!$B$3:$C$302,2,0),"Unknown Code"))</f>
        <v/>
      </c>
      <c r="E284" s="14" t="str">
        <f>IF(C284="","",IFERROR(VLOOKUP(C284,'Item Master'!$B$3:$G$302,6,0),""))</f>
        <v/>
      </c>
      <c r="F284" s="19"/>
      <c r="G284" s="14"/>
      <c r="H284" s="14"/>
      <c r="I284" s="14"/>
      <c r="J284" s="14"/>
    </row>
    <row r="285" ht="15.75" customHeight="1">
      <c r="A285" s="14" t="str">
        <f t="shared" si="1"/>
        <v/>
      </c>
      <c r="B285" s="24"/>
      <c r="C285" s="14"/>
      <c r="D285" s="14" t="str">
        <f>IF(C285="","",IFERROR(VLOOKUP(C285,'Item Master'!$B$3:$C$302,2,0),"Unknown Code"))</f>
        <v/>
      </c>
      <c r="E285" s="14" t="str">
        <f>IF(C285="","",IFERROR(VLOOKUP(C285,'Item Master'!$B$3:$G$302,6,0),""))</f>
        <v/>
      </c>
      <c r="F285" s="19"/>
      <c r="G285" s="14"/>
      <c r="H285" s="14"/>
      <c r="I285" s="14"/>
      <c r="J285" s="14"/>
    </row>
    <row r="286" ht="15.75" customHeight="1">
      <c r="A286" s="14" t="str">
        <f t="shared" si="1"/>
        <v/>
      </c>
      <c r="B286" s="24"/>
      <c r="C286" s="14"/>
      <c r="D286" s="14" t="str">
        <f>IF(C286="","",IFERROR(VLOOKUP(C286,'Item Master'!$B$3:$C$302,2,0),"Unknown Code"))</f>
        <v/>
      </c>
      <c r="E286" s="14" t="str">
        <f>IF(C286="","",IFERROR(VLOOKUP(C286,'Item Master'!$B$3:$G$302,6,0),""))</f>
        <v/>
      </c>
      <c r="F286" s="19"/>
      <c r="G286" s="14"/>
      <c r="H286" s="14"/>
      <c r="I286" s="14"/>
      <c r="J286" s="14"/>
    </row>
    <row r="287" ht="15.75" customHeight="1">
      <c r="A287" s="14" t="str">
        <f t="shared" si="1"/>
        <v/>
      </c>
      <c r="B287" s="24"/>
      <c r="C287" s="14"/>
      <c r="D287" s="14" t="str">
        <f>IF(C287="","",IFERROR(VLOOKUP(C287,'Item Master'!$B$3:$C$302,2,0),"Unknown Code"))</f>
        <v/>
      </c>
      <c r="E287" s="14" t="str">
        <f>IF(C287="","",IFERROR(VLOOKUP(C287,'Item Master'!$B$3:$G$302,6,0),""))</f>
        <v/>
      </c>
      <c r="F287" s="19"/>
      <c r="G287" s="14"/>
      <c r="H287" s="14"/>
      <c r="I287" s="14"/>
      <c r="J287" s="14"/>
    </row>
    <row r="288" ht="15.75" customHeight="1">
      <c r="A288" s="14" t="str">
        <f t="shared" si="1"/>
        <v/>
      </c>
      <c r="B288" s="24"/>
      <c r="C288" s="14"/>
      <c r="D288" s="14" t="str">
        <f>IF(C288="","",IFERROR(VLOOKUP(C288,'Item Master'!$B$3:$C$302,2,0),"Unknown Code"))</f>
        <v/>
      </c>
      <c r="E288" s="14" t="str">
        <f>IF(C288="","",IFERROR(VLOOKUP(C288,'Item Master'!$B$3:$G$302,6,0),""))</f>
        <v/>
      </c>
      <c r="F288" s="19"/>
      <c r="G288" s="14"/>
      <c r="H288" s="14"/>
      <c r="I288" s="14"/>
      <c r="J288" s="14"/>
    </row>
    <row r="289" ht="15.75" customHeight="1">
      <c r="A289" s="14" t="str">
        <f t="shared" si="1"/>
        <v/>
      </c>
      <c r="B289" s="24"/>
      <c r="C289" s="14"/>
      <c r="D289" s="14" t="str">
        <f>IF(C289="","",IFERROR(VLOOKUP(C289,'Item Master'!$B$3:$C$302,2,0),"Unknown Code"))</f>
        <v/>
      </c>
      <c r="E289" s="14" t="str">
        <f>IF(C289="","",IFERROR(VLOOKUP(C289,'Item Master'!$B$3:$G$302,6,0),""))</f>
        <v/>
      </c>
      <c r="F289" s="19"/>
      <c r="G289" s="14"/>
      <c r="H289" s="14"/>
      <c r="I289" s="14"/>
      <c r="J289" s="14"/>
    </row>
    <row r="290" ht="15.75" customHeight="1">
      <c r="A290" s="14" t="str">
        <f t="shared" si="1"/>
        <v/>
      </c>
      <c r="B290" s="24"/>
      <c r="C290" s="14"/>
      <c r="D290" s="14" t="str">
        <f>IF(C290="","",IFERROR(VLOOKUP(C290,'Item Master'!$B$3:$C$302,2,0),"Unknown Code"))</f>
        <v/>
      </c>
      <c r="E290" s="14" t="str">
        <f>IF(C290="","",IFERROR(VLOOKUP(C290,'Item Master'!$B$3:$G$302,6,0),""))</f>
        <v/>
      </c>
      <c r="F290" s="19"/>
      <c r="G290" s="14"/>
      <c r="H290" s="14"/>
      <c r="I290" s="14"/>
      <c r="J290" s="14"/>
    </row>
    <row r="291" ht="15.75" customHeight="1">
      <c r="A291" s="14" t="str">
        <f t="shared" si="1"/>
        <v/>
      </c>
      <c r="B291" s="24"/>
      <c r="C291" s="14"/>
      <c r="D291" s="14" t="str">
        <f>IF(C291="","",IFERROR(VLOOKUP(C291,'Item Master'!$B$3:$C$302,2,0),"Unknown Code"))</f>
        <v/>
      </c>
      <c r="E291" s="14" t="str">
        <f>IF(C291="","",IFERROR(VLOOKUP(C291,'Item Master'!$B$3:$G$302,6,0),""))</f>
        <v/>
      </c>
      <c r="F291" s="19"/>
      <c r="G291" s="14"/>
      <c r="H291" s="14"/>
      <c r="I291" s="14"/>
      <c r="J291" s="14"/>
    </row>
    <row r="292" ht="15.75" customHeight="1">
      <c r="A292" s="14" t="str">
        <f t="shared" si="1"/>
        <v/>
      </c>
      <c r="B292" s="24"/>
      <c r="C292" s="14"/>
      <c r="D292" s="14" t="str">
        <f>IF(C292="","",IFERROR(VLOOKUP(C292,'Item Master'!$B$3:$C$302,2,0),"Unknown Code"))</f>
        <v/>
      </c>
      <c r="E292" s="14" t="str">
        <f>IF(C292="","",IFERROR(VLOOKUP(C292,'Item Master'!$B$3:$G$302,6,0),""))</f>
        <v/>
      </c>
      <c r="F292" s="19"/>
      <c r="G292" s="14"/>
      <c r="H292" s="14"/>
      <c r="I292" s="14"/>
      <c r="J292" s="14"/>
    </row>
    <row r="293" ht="15.75" customHeight="1">
      <c r="A293" s="14" t="str">
        <f t="shared" si="1"/>
        <v/>
      </c>
      <c r="B293" s="24"/>
      <c r="C293" s="14"/>
      <c r="D293" s="14" t="str">
        <f>IF(C293="","",IFERROR(VLOOKUP(C293,'Item Master'!$B$3:$C$302,2,0),"Unknown Code"))</f>
        <v/>
      </c>
      <c r="E293" s="14" t="str">
        <f>IF(C293="","",IFERROR(VLOOKUP(C293,'Item Master'!$B$3:$G$302,6,0),""))</f>
        <v/>
      </c>
      <c r="F293" s="19"/>
      <c r="G293" s="14"/>
      <c r="H293" s="14"/>
      <c r="I293" s="14"/>
      <c r="J293" s="14"/>
    </row>
    <row r="294" ht="15.75" customHeight="1">
      <c r="A294" s="14" t="str">
        <f t="shared" si="1"/>
        <v/>
      </c>
      <c r="B294" s="24"/>
      <c r="C294" s="14"/>
      <c r="D294" s="14" t="str">
        <f>IF(C294="","",IFERROR(VLOOKUP(C294,'Item Master'!$B$3:$C$302,2,0),"Unknown Code"))</f>
        <v/>
      </c>
      <c r="E294" s="14" t="str">
        <f>IF(C294="","",IFERROR(VLOOKUP(C294,'Item Master'!$B$3:$G$302,6,0),""))</f>
        <v/>
      </c>
      <c r="F294" s="19"/>
      <c r="G294" s="14"/>
      <c r="H294" s="14"/>
      <c r="I294" s="14"/>
      <c r="J294" s="14"/>
    </row>
    <row r="295" ht="15.75" customHeight="1">
      <c r="A295" s="14" t="str">
        <f t="shared" si="1"/>
        <v/>
      </c>
      <c r="B295" s="24"/>
      <c r="C295" s="14"/>
      <c r="D295" s="14" t="str">
        <f>IF(C295="","",IFERROR(VLOOKUP(C295,'Item Master'!$B$3:$C$302,2,0),"Unknown Code"))</f>
        <v/>
      </c>
      <c r="E295" s="14" t="str">
        <f>IF(C295="","",IFERROR(VLOOKUP(C295,'Item Master'!$B$3:$G$302,6,0),""))</f>
        <v/>
      </c>
      <c r="F295" s="19"/>
      <c r="G295" s="14"/>
      <c r="H295" s="14"/>
      <c r="I295" s="14"/>
      <c r="J295" s="14"/>
    </row>
    <row r="296" ht="15.75" customHeight="1">
      <c r="A296" s="14" t="str">
        <f t="shared" si="1"/>
        <v/>
      </c>
      <c r="B296" s="24"/>
      <c r="C296" s="14"/>
      <c r="D296" s="14" t="str">
        <f>IF(C296="","",IFERROR(VLOOKUP(C296,'Item Master'!$B$3:$C$302,2,0),"Unknown Code"))</f>
        <v/>
      </c>
      <c r="E296" s="14" t="str">
        <f>IF(C296="","",IFERROR(VLOOKUP(C296,'Item Master'!$B$3:$G$302,6,0),""))</f>
        <v/>
      </c>
      <c r="F296" s="19"/>
      <c r="G296" s="14"/>
      <c r="H296" s="14"/>
      <c r="I296" s="14"/>
      <c r="J296" s="14"/>
    </row>
    <row r="297" ht="15.75" customHeight="1">
      <c r="A297" s="14" t="str">
        <f t="shared" si="1"/>
        <v/>
      </c>
      <c r="B297" s="24"/>
      <c r="C297" s="14"/>
      <c r="D297" s="14" t="str">
        <f>IF(C297="","",IFERROR(VLOOKUP(C297,'Item Master'!$B$3:$C$302,2,0),"Unknown Code"))</f>
        <v/>
      </c>
      <c r="E297" s="14" t="str">
        <f>IF(C297="","",IFERROR(VLOOKUP(C297,'Item Master'!$B$3:$G$302,6,0),""))</f>
        <v/>
      </c>
      <c r="F297" s="19"/>
      <c r="G297" s="14"/>
      <c r="H297" s="14"/>
      <c r="I297" s="14"/>
      <c r="J297" s="14"/>
    </row>
    <row r="298" ht="15.75" customHeight="1">
      <c r="A298" s="14" t="str">
        <f t="shared" si="1"/>
        <v/>
      </c>
      <c r="B298" s="24"/>
      <c r="C298" s="14"/>
      <c r="D298" s="14" t="str">
        <f>IF(C298="","",IFERROR(VLOOKUP(C298,'Item Master'!$B$3:$C$302,2,0),"Unknown Code"))</f>
        <v/>
      </c>
      <c r="E298" s="14" t="str">
        <f>IF(C298="","",IFERROR(VLOOKUP(C298,'Item Master'!$B$3:$G$302,6,0),""))</f>
        <v/>
      </c>
      <c r="F298" s="19"/>
      <c r="G298" s="14"/>
      <c r="H298" s="14"/>
      <c r="I298" s="14"/>
      <c r="J298" s="14"/>
    </row>
    <row r="299" ht="15.75" customHeight="1">
      <c r="A299" s="14" t="str">
        <f t="shared" si="1"/>
        <v/>
      </c>
      <c r="B299" s="24"/>
      <c r="C299" s="14"/>
      <c r="D299" s="14" t="str">
        <f>IF(C299="","",IFERROR(VLOOKUP(C299,'Item Master'!$B$3:$C$302,2,0),"Unknown Code"))</f>
        <v/>
      </c>
      <c r="E299" s="14" t="str">
        <f>IF(C299="","",IFERROR(VLOOKUP(C299,'Item Master'!$B$3:$G$302,6,0),""))</f>
        <v/>
      </c>
      <c r="F299" s="19"/>
      <c r="G299" s="14"/>
      <c r="H299" s="14"/>
      <c r="I299" s="14"/>
      <c r="J299" s="14"/>
    </row>
    <row r="300" ht="15.75" customHeight="1">
      <c r="A300" s="14" t="str">
        <f t="shared" si="1"/>
        <v/>
      </c>
      <c r="B300" s="24"/>
      <c r="C300" s="14"/>
      <c r="D300" s="14" t="str">
        <f>IF(C300="","",IFERROR(VLOOKUP(C300,'Item Master'!$B$3:$C$302,2,0),"Unknown Code"))</f>
        <v/>
      </c>
      <c r="E300" s="14" t="str">
        <f>IF(C300="","",IFERROR(VLOOKUP(C300,'Item Master'!$B$3:$G$302,6,0),""))</f>
        <v/>
      </c>
      <c r="F300" s="19"/>
      <c r="G300" s="14"/>
      <c r="H300" s="14"/>
      <c r="I300" s="14"/>
      <c r="J300" s="14"/>
    </row>
    <row r="301" ht="15.75" customHeight="1">
      <c r="A301" s="14" t="str">
        <f t="shared" si="1"/>
        <v/>
      </c>
      <c r="B301" s="24"/>
      <c r="C301" s="14"/>
      <c r="D301" s="14" t="str">
        <f>IF(C301="","",IFERROR(VLOOKUP(C301,'Item Master'!$B$3:$C$302,2,0),"Unknown Code"))</f>
        <v/>
      </c>
      <c r="E301" s="14" t="str">
        <f>IF(C301="","",IFERROR(VLOOKUP(C301,'Item Master'!$B$3:$G$302,6,0),""))</f>
        <v/>
      </c>
      <c r="F301" s="19"/>
      <c r="G301" s="14"/>
      <c r="H301" s="14"/>
      <c r="I301" s="14"/>
      <c r="J301" s="14"/>
    </row>
    <row r="302" ht="15.75" customHeight="1">
      <c r="A302" s="14" t="str">
        <f t="shared" si="1"/>
        <v/>
      </c>
      <c r="B302" s="24"/>
      <c r="C302" s="14"/>
      <c r="D302" s="14" t="str">
        <f>IF(C302="","",IFERROR(VLOOKUP(C302,'Item Master'!$B$3:$C$302,2,0),"Unknown Code"))</f>
        <v/>
      </c>
      <c r="E302" s="14" t="str">
        <f>IF(C302="","",IFERROR(VLOOKUP(C302,'Item Master'!$B$3:$G$302,6,0),""))</f>
        <v/>
      </c>
      <c r="F302" s="19"/>
      <c r="G302" s="14"/>
      <c r="H302" s="14"/>
      <c r="I302" s="14"/>
      <c r="J302" s="14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3:C302">
      <formula1>'Item Master'!$B$3:$B$302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6.0"/>
    <col customWidth="1" min="2" max="2" width="12.0"/>
    <col customWidth="1" min="3" max="3" width="11.0"/>
    <col customWidth="1" min="4" max="4" width="13.0"/>
    <col customWidth="1" min="5" max="5" width="32.0"/>
    <col customWidth="1" min="6" max="6" width="8.0"/>
    <col customWidth="1" min="7" max="7" width="10.0"/>
    <col customWidth="1" min="8" max="9" width="16.0"/>
    <col customWidth="1" min="10" max="10" width="24.0"/>
    <col customWidth="1" min="11" max="26" width="8.71"/>
  </cols>
  <sheetData>
    <row r="1">
      <c r="A1" s="3" t="s">
        <v>143</v>
      </c>
    </row>
    <row r="2">
      <c r="A2" s="25" t="s">
        <v>45</v>
      </c>
      <c r="B2" s="25" t="s">
        <v>138</v>
      </c>
      <c r="C2" s="25" t="s">
        <v>36</v>
      </c>
      <c r="D2" s="25" t="s">
        <v>60</v>
      </c>
      <c r="E2" s="25" t="s">
        <v>61</v>
      </c>
      <c r="F2" s="25" t="s">
        <v>65</v>
      </c>
      <c r="G2" s="25" t="s">
        <v>144</v>
      </c>
      <c r="H2" s="25" t="s">
        <v>145</v>
      </c>
      <c r="I2" s="25" t="s">
        <v>146</v>
      </c>
      <c r="J2" s="25" t="s">
        <v>50</v>
      </c>
    </row>
    <row r="3">
      <c r="A3" s="14" t="str">
        <f t="shared" ref="A3:A302" si="1">IF(D3="","",ROW()-2)</f>
        <v/>
      </c>
      <c r="B3" s="24"/>
      <c r="C3" s="14"/>
      <c r="D3" s="14"/>
      <c r="E3" s="14" t="str">
        <f>IF(D3="","",IFERROR(VLOOKUP(D3,'Item Master'!$B$3:$C$302,2,0),"Unknown Code"))</f>
        <v/>
      </c>
      <c r="F3" s="14" t="str">
        <f>IF(D3="","",IFERROR(VLOOKUP(D3,'Item Master'!$B$3:$G$302,6,0),""))</f>
        <v/>
      </c>
      <c r="G3" s="19"/>
      <c r="H3" s="14"/>
      <c r="I3" s="14"/>
      <c r="J3" s="14"/>
    </row>
    <row r="4">
      <c r="A4" s="14" t="str">
        <f t="shared" si="1"/>
        <v/>
      </c>
      <c r="B4" s="24"/>
      <c r="C4" s="14"/>
      <c r="D4" s="14"/>
      <c r="E4" s="14" t="str">
        <f>IF(D4="","",IFERROR(VLOOKUP(D4,'Item Master'!$B$3:$C$302,2,0),"Unknown Code"))</f>
        <v/>
      </c>
      <c r="F4" s="14" t="str">
        <f>IF(D4="","",IFERROR(VLOOKUP(D4,'Item Master'!$B$3:$G$302,6,0),""))</f>
        <v/>
      </c>
      <c r="G4" s="19"/>
      <c r="H4" s="14"/>
      <c r="I4" s="14"/>
      <c r="J4" s="14"/>
    </row>
    <row r="5">
      <c r="A5" s="14" t="str">
        <f t="shared" si="1"/>
        <v/>
      </c>
      <c r="B5" s="24"/>
      <c r="C5" s="14"/>
      <c r="D5" s="14"/>
      <c r="E5" s="14" t="str">
        <f>IF(D5="","",IFERROR(VLOOKUP(D5,'Item Master'!$B$3:$C$302,2,0),"Unknown Code"))</f>
        <v/>
      </c>
      <c r="F5" s="14" t="str">
        <f>IF(D5="","",IFERROR(VLOOKUP(D5,'Item Master'!$B$3:$G$302,6,0),""))</f>
        <v/>
      </c>
      <c r="G5" s="19"/>
      <c r="H5" s="14"/>
      <c r="I5" s="14"/>
      <c r="J5" s="14"/>
    </row>
    <row r="6">
      <c r="A6" s="14" t="str">
        <f t="shared" si="1"/>
        <v/>
      </c>
      <c r="B6" s="24"/>
      <c r="C6" s="14"/>
      <c r="D6" s="14"/>
      <c r="E6" s="14" t="str">
        <f>IF(D6="","",IFERROR(VLOOKUP(D6,'Item Master'!$B$3:$C$302,2,0),"Unknown Code"))</f>
        <v/>
      </c>
      <c r="F6" s="14" t="str">
        <f>IF(D6="","",IFERROR(VLOOKUP(D6,'Item Master'!$B$3:$G$302,6,0),""))</f>
        <v/>
      </c>
      <c r="G6" s="19"/>
      <c r="H6" s="14"/>
      <c r="I6" s="14"/>
      <c r="J6" s="14"/>
    </row>
    <row r="7">
      <c r="A7" s="14" t="str">
        <f t="shared" si="1"/>
        <v/>
      </c>
      <c r="B7" s="24"/>
      <c r="C7" s="14"/>
      <c r="D7" s="14"/>
      <c r="E7" s="14" t="str">
        <f>IF(D7="","",IFERROR(VLOOKUP(D7,'Item Master'!$B$3:$C$302,2,0),"Unknown Code"))</f>
        <v/>
      </c>
      <c r="F7" s="14" t="str">
        <f>IF(D7="","",IFERROR(VLOOKUP(D7,'Item Master'!$B$3:$G$302,6,0),""))</f>
        <v/>
      </c>
      <c r="G7" s="19"/>
      <c r="H7" s="14"/>
      <c r="I7" s="14"/>
      <c r="J7" s="14"/>
    </row>
    <row r="8">
      <c r="A8" s="14" t="str">
        <f t="shared" si="1"/>
        <v/>
      </c>
      <c r="B8" s="24"/>
      <c r="C8" s="14"/>
      <c r="D8" s="14"/>
      <c r="E8" s="14" t="str">
        <f>IF(D8="","",IFERROR(VLOOKUP(D8,'Item Master'!$B$3:$C$302,2,0),"Unknown Code"))</f>
        <v/>
      </c>
      <c r="F8" s="14" t="str">
        <f>IF(D8="","",IFERROR(VLOOKUP(D8,'Item Master'!$B$3:$G$302,6,0),""))</f>
        <v/>
      </c>
      <c r="G8" s="19"/>
      <c r="H8" s="14"/>
      <c r="I8" s="14"/>
      <c r="J8" s="14"/>
    </row>
    <row r="9">
      <c r="A9" s="14" t="str">
        <f t="shared" si="1"/>
        <v/>
      </c>
      <c r="B9" s="24"/>
      <c r="C9" s="14"/>
      <c r="D9" s="14"/>
      <c r="E9" s="14" t="str">
        <f>IF(D9="","",IFERROR(VLOOKUP(D9,'Item Master'!$B$3:$C$302,2,0),"Unknown Code"))</f>
        <v/>
      </c>
      <c r="F9" s="14" t="str">
        <f>IF(D9="","",IFERROR(VLOOKUP(D9,'Item Master'!$B$3:$G$302,6,0),""))</f>
        <v/>
      </c>
      <c r="G9" s="19"/>
      <c r="H9" s="14"/>
      <c r="I9" s="14"/>
      <c r="J9" s="14"/>
    </row>
    <row r="10">
      <c r="A10" s="14" t="str">
        <f t="shared" si="1"/>
        <v/>
      </c>
      <c r="B10" s="24"/>
      <c r="C10" s="14"/>
      <c r="D10" s="14"/>
      <c r="E10" s="14" t="str">
        <f>IF(D10="","",IFERROR(VLOOKUP(D10,'Item Master'!$B$3:$C$302,2,0),"Unknown Code"))</f>
        <v/>
      </c>
      <c r="F10" s="14" t="str">
        <f>IF(D10="","",IFERROR(VLOOKUP(D10,'Item Master'!$B$3:$G$302,6,0),""))</f>
        <v/>
      </c>
      <c r="G10" s="19"/>
      <c r="H10" s="14"/>
      <c r="I10" s="14"/>
      <c r="J10" s="14"/>
    </row>
    <row r="11">
      <c r="A11" s="14" t="str">
        <f t="shared" si="1"/>
        <v/>
      </c>
      <c r="B11" s="24"/>
      <c r="C11" s="14"/>
      <c r="D11" s="14"/>
      <c r="E11" s="14" t="str">
        <f>IF(D11="","",IFERROR(VLOOKUP(D11,'Item Master'!$B$3:$C$302,2,0),"Unknown Code"))</f>
        <v/>
      </c>
      <c r="F11" s="14" t="str">
        <f>IF(D11="","",IFERROR(VLOOKUP(D11,'Item Master'!$B$3:$G$302,6,0),""))</f>
        <v/>
      </c>
      <c r="G11" s="19"/>
      <c r="H11" s="14"/>
      <c r="I11" s="14"/>
      <c r="J11" s="14"/>
    </row>
    <row r="12">
      <c r="A12" s="14" t="str">
        <f t="shared" si="1"/>
        <v/>
      </c>
      <c r="B12" s="24"/>
      <c r="C12" s="14"/>
      <c r="D12" s="14"/>
      <c r="E12" s="14" t="str">
        <f>IF(D12="","",IFERROR(VLOOKUP(D12,'Item Master'!$B$3:$C$302,2,0),"Unknown Code"))</f>
        <v/>
      </c>
      <c r="F12" s="14" t="str">
        <f>IF(D12="","",IFERROR(VLOOKUP(D12,'Item Master'!$B$3:$G$302,6,0),""))</f>
        <v/>
      </c>
      <c r="G12" s="19"/>
      <c r="H12" s="14"/>
      <c r="I12" s="14"/>
      <c r="J12" s="14"/>
    </row>
    <row r="13">
      <c r="A13" s="14" t="str">
        <f t="shared" si="1"/>
        <v/>
      </c>
      <c r="B13" s="24"/>
      <c r="C13" s="14"/>
      <c r="D13" s="14"/>
      <c r="E13" s="14" t="str">
        <f>IF(D13="","",IFERROR(VLOOKUP(D13,'Item Master'!$B$3:$C$302,2,0),"Unknown Code"))</f>
        <v/>
      </c>
      <c r="F13" s="14" t="str">
        <f>IF(D13="","",IFERROR(VLOOKUP(D13,'Item Master'!$B$3:$G$302,6,0),""))</f>
        <v/>
      </c>
      <c r="G13" s="19"/>
      <c r="H13" s="14"/>
      <c r="I13" s="14"/>
      <c r="J13" s="14"/>
    </row>
    <row r="14">
      <c r="A14" s="14" t="str">
        <f t="shared" si="1"/>
        <v/>
      </c>
      <c r="B14" s="24"/>
      <c r="C14" s="14"/>
      <c r="D14" s="14"/>
      <c r="E14" s="14" t="str">
        <f>IF(D14="","",IFERROR(VLOOKUP(D14,'Item Master'!$B$3:$C$302,2,0),"Unknown Code"))</f>
        <v/>
      </c>
      <c r="F14" s="14" t="str">
        <f>IF(D14="","",IFERROR(VLOOKUP(D14,'Item Master'!$B$3:$G$302,6,0),""))</f>
        <v/>
      </c>
      <c r="G14" s="19"/>
      <c r="H14" s="14"/>
      <c r="I14" s="14"/>
      <c r="J14" s="14"/>
    </row>
    <row r="15">
      <c r="A15" s="14" t="str">
        <f t="shared" si="1"/>
        <v/>
      </c>
      <c r="B15" s="24"/>
      <c r="C15" s="14"/>
      <c r="D15" s="14"/>
      <c r="E15" s="14" t="str">
        <f>IF(D15="","",IFERROR(VLOOKUP(D15,'Item Master'!$B$3:$C$302,2,0),"Unknown Code"))</f>
        <v/>
      </c>
      <c r="F15" s="14" t="str">
        <f>IF(D15="","",IFERROR(VLOOKUP(D15,'Item Master'!$B$3:$G$302,6,0),""))</f>
        <v/>
      </c>
      <c r="G15" s="19"/>
      <c r="H15" s="14"/>
      <c r="I15" s="14"/>
      <c r="J15" s="14"/>
    </row>
    <row r="16">
      <c r="A16" s="14" t="str">
        <f t="shared" si="1"/>
        <v/>
      </c>
      <c r="B16" s="24"/>
      <c r="C16" s="14"/>
      <c r="D16" s="14"/>
      <c r="E16" s="14" t="str">
        <f>IF(D16="","",IFERROR(VLOOKUP(D16,'Item Master'!$B$3:$C$302,2,0),"Unknown Code"))</f>
        <v/>
      </c>
      <c r="F16" s="14" t="str">
        <f>IF(D16="","",IFERROR(VLOOKUP(D16,'Item Master'!$B$3:$G$302,6,0),""))</f>
        <v/>
      </c>
      <c r="G16" s="19"/>
      <c r="H16" s="14"/>
      <c r="I16" s="14"/>
      <c r="J16" s="14"/>
    </row>
    <row r="17">
      <c r="A17" s="14" t="str">
        <f t="shared" si="1"/>
        <v/>
      </c>
      <c r="B17" s="24"/>
      <c r="C17" s="14"/>
      <c r="D17" s="14"/>
      <c r="E17" s="14" t="str">
        <f>IF(D17="","",IFERROR(VLOOKUP(D17,'Item Master'!$B$3:$C$302,2,0),"Unknown Code"))</f>
        <v/>
      </c>
      <c r="F17" s="14" t="str">
        <f>IF(D17="","",IFERROR(VLOOKUP(D17,'Item Master'!$B$3:$G$302,6,0),""))</f>
        <v/>
      </c>
      <c r="G17" s="19"/>
      <c r="H17" s="14"/>
      <c r="I17" s="14"/>
      <c r="J17" s="14"/>
    </row>
    <row r="18">
      <c r="A18" s="14" t="str">
        <f t="shared" si="1"/>
        <v/>
      </c>
      <c r="B18" s="24"/>
      <c r="C18" s="14"/>
      <c r="D18" s="14"/>
      <c r="E18" s="14" t="str">
        <f>IF(D18="","",IFERROR(VLOOKUP(D18,'Item Master'!$B$3:$C$302,2,0),"Unknown Code"))</f>
        <v/>
      </c>
      <c r="F18" s="14" t="str">
        <f>IF(D18="","",IFERROR(VLOOKUP(D18,'Item Master'!$B$3:$G$302,6,0),""))</f>
        <v/>
      </c>
      <c r="G18" s="19"/>
      <c r="H18" s="14"/>
      <c r="I18" s="14"/>
      <c r="J18" s="14"/>
    </row>
    <row r="19">
      <c r="A19" s="14" t="str">
        <f t="shared" si="1"/>
        <v/>
      </c>
      <c r="B19" s="24"/>
      <c r="C19" s="14"/>
      <c r="D19" s="14"/>
      <c r="E19" s="14" t="str">
        <f>IF(D19="","",IFERROR(VLOOKUP(D19,'Item Master'!$B$3:$C$302,2,0),"Unknown Code"))</f>
        <v/>
      </c>
      <c r="F19" s="14" t="str">
        <f>IF(D19="","",IFERROR(VLOOKUP(D19,'Item Master'!$B$3:$G$302,6,0),""))</f>
        <v/>
      </c>
      <c r="G19" s="19"/>
      <c r="H19" s="14"/>
      <c r="I19" s="14"/>
      <c r="J19" s="14"/>
    </row>
    <row r="20">
      <c r="A20" s="14" t="str">
        <f t="shared" si="1"/>
        <v/>
      </c>
      <c r="B20" s="24"/>
      <c r="C20" s="14"/>
      <c r="D20" s="14"/>
      <c r="E20" s="14" t="str">
        <f>IF(D20="","",IFERROR(VLOOKUP(D20,'Item Master'!$B$3:$C$302,2,0),"Unknown Code"))</f>
        <v/>
      </c>
      <c r="F20" s="14" t="str">
        <f>IF(D20="","",IFERROR(VLOOKUP(D20,'Item Master'!$B$3:$G$302,6,0),""))</f>
        <v/>
      </c>
      <c r="G20" s="19"/>
      <c r="H20" s="14"/>
      <c r="I20" s="14"/>
      <c r="J20" s="14"/>
    </row>
    <row r="21" ht="15.75" customHeight="1">
      <c r="A21" s="14" t="str">
        <f t="shared" si="1"/>
        <v/>
      </c>
      <c r="B21" s="24"/>
      <c r="C21" s="14"/>
      <c r="D21" s="14"/>
      <c r="E21" s="14" t="str">
        <f>IF(D21="","",IFERROR(VLOOKUP(D21,'Item Master'!$B$3:$C$302,2,0),"Unknown Code"))</f>
        <v/>
      </c>
      <c r="F21" s="14" t="str">
        <f>IF(D21="","",IFERROR(VLOOKUP(D21,'Item Master'!$B$3:$G$302,6,0),""))</f>
        <v/>
      </c>
      <c r="G21" s="19"/>
      <c r="H21" s="14"/>
      <c r="I21" s="14"/>
      <c r="J21" s="14"/>
    </row>
    <row r="22" ht="15.75" customHeight="1">
      <c r="A22" s="14" t="str">
        <f t="shared" si="1"/>
        <v/>
      </c>
      <c r="B22" s="24"/>
      <c r="C22" s="14"/>
      <c r="D22" s="14"/>
      <c r="E22" s="14" t="str">
        <f>IF(D22="","",IFERROR(VLOOKUP(D22,'Item Master'!$B$3:$C$302,2,0),"Unknown Code"))</f>
        <v/>
      </c>
      <c r="F22" s="14" t="str">
        <f>IF(D22="","",IFERROR(VLOOKUP(D22,'Item Master'!$B$3:$G$302,6,0),""))</f>
        <v/>
      </c>
      <c r="G22" s="19"/>
      <c r="H22" s="14"/>
      <c r="I22" s="14"/>
      <c r="J22" s="14"/>
    </row>
    <row r="23" ht="15.75" customHeight="1">
      <c r="A23" s="14" t="str">
        <f t="shared" si="1"/>
        <v/>
      </c>
      <c r="B23" s="24"/>
      <c r="C23" s="14"/>
      <c r="D23" s="14"/>
      <c r="E23" s="14" t="str">
        <f>IF(D23="","",IFERROR(VLOOKUP(D23,'Item Master'!$B$3:$C$302,2,0),"Unknown Code"))</f>
        <v/>
      </c>
      <c r="F23" s="14" t="str">
        <f>IF(D23="","",IFERROR(VLOOKUP(D23,'Item Master'!$B$3:$G$302,6,0),""))</f>
        <v/>
      </c>
      <c r="G23" s="19"/>
      <c r="H23" s="14"/>
      <c r="I23" s="14"/>
      <c r="J23" s="14"/>
    </row>
    <row r="24" ht="15.75" customHeight="1">
      <c r="A24" s="14" t="str">
        <f t="shared" si="1"/>
        <v/>
      </c>
      <c r="B24" s="24"/>
      <c r="C24" s="14"/>
      <c r="D24" s="14"/>
      <c r="E24" s="14" t="str">
        <f>IF(D24="","",IFERROR(VLOOKUP(D24,'Item Master'!$B$3:$C$302,2,0),"Unknown Code"))</f>
        <v/>
      </c>
      <c r="F24" s="14" t="str">
        <f>IF(D24="","",IFERROR(VLOOKUP(D24,'Item Master'!$B$3:$G$302,6,0),""))</f>
        <v/>
      </c>
      <c r="G24" s="19"/>
      <c r="H24" s="14"/>
      <c r="I24" s="14"/>
      <c r="J24" s="14"/>
    </row>
    <row r="25" ht="15.75" customHeight="1">
      <c r="A25" s="14" t="str">
        <f t="shared" si="1"/>
        <v/>
      </c>
      <c r="B25" s="24"/>
      <c r="C25" s="14"/>
      <c r="D25" s="14"/>
      <c r="E25" s="14" t="str">
        <f>IF(D25="","",IFERROR(VLOOKUP(D25,'Item Master'!$B$3:$C$302,2,0),"Unknown Code"))</f>
        <v/>
      </c>
      <c r="F25" s="14" t="str">
        <f>IF(D25="","",IFERROR(VLOOKUP(D25,'Item Master'!$B$3:$G$302,6,0),""))</f>
        <v/>
      </c>
      <c r="G25" s="19"/>
      <c r="H25" s="14"/>
      <c r="I25" s="14"/>
      <c r="J25" s="14"/>
    </row>
    <row r="26" ht="15.75" customHeight="1">
      <c r="A26" s="14" t="str">
        <f t="shared" si="1"/>
        <v/>
      </c>
      <c r="B26" s="24"/>
      <c r="C26" s="14"/>
      <c r="D26" s="14"/>
      <c r="E26" s="14" t="str">
        <f>IF(D26="","",IFERROR(VLOOKUP(D26,'Item Master'!$B$3:$C$302,2,0),"Unknown Code"))</f>
        <v/>
      </c>
      <c r="F26" s="14" t="str">
        <f>IF(D26="","",IFERROR(VLOOKUP(D26,'Item Master'!$B$3:$G$302,6,0),""))</f>
        <v/>
      </c>
      <c r="G26" s="19"/>
      <c r="H26" s="14"/>
      <c r="I26" s="14"/>
      <c r="J26" s="14"/>
    </row>
    <row r="27" ht="15.75" customHeight="1">
      <c r="A27" s="14" t="str">
        <f t="shared" si="1"/>
        <v/>
      </c>
      <c r="B27" s="24"/>
      <c r="C27" s="14"/>
      <c r="D27" s="14"/>
      <c r="E27" s="14" t="str">
        <f>IF(D27="","",IFERROR(VLOOKUP(D27,'Item Master'!$B$3:$C$302,2,0),"Unknown Code"))</f>
        <v/>
      </c>
      <c r="F27" s="14" t="str">
        <f>IF(D27="","",IFERROR(VLOOKUP(D27,'Item Master'!$B$3:$G$302,6,0),""))</f>
        <v/>
      </c>
      <c r="G27" s="19"/>
      <c r="H27" s="14"/>
      <c r="I27" s="14"/>
      <c r="J27" s="14"/>
    </row>
    <row r="28" ht="15.75" customHeight="1">
      <c r="A28" s="14" t="str">
        <f t="shared" si="1"/>
        <v/>
      </c>
      <c r="B28" s="24"/>
      <c r="C28" s="14"/>
      <c r="D28" s="14"/>
      <c r="E28" s="14" t="str">
        <f>IF(D28="","",IFERROR(VLOOKUP(D28,'Item Master'!$B$3:$C$302,2,0),"Unknown Code"))</f>
        <v/>
      </c>
      <c r="F28" s="14" t="str">
        <f>IF(D28="","",IFERROR(VLOOKUP(D28,'Item Master'!$B$3:$G$302,6,0),""))</f>
        <v/>
      </c>
      <c r="G28" s="19"/>
      <c r="H28" s="14"/>
      <c r="I28" s="14"/>
      <c r="J28" s="14"/>
    </row>
    <row r="29" ht="15.75" customHeight="1">
      <c r="A29" s="14" t="str">
        <f t="shared" si="1"/>
        <v/>
      </c>
      <c r="B29" s="24"/>
      <c r="C29" s="14"/>
      <c r="D29" s="14"/>
      <c r="E29" s="14" t="str">
        <f>IF(D29="","",IFERROR(VLOOKUP(D29,'Item Master'!$B$3:$C$302,2,0),"Unknown Code"))</f>
        <v/>
      </c>
      <c r="F29" s="14" t="str">
        <f>IF(D29="","",IFERROR(VLOOKUP(D29,'Item Master'!$B$3:$G$302,6,0),""))</f>
        <v/>
      </c>
      <c r="G29" s="19"/>
      <c r="H29" s="14"/>
      <c r="I29" s="14"/>
      <c r="J29" s="14"/>
    </row>
    <row r="30" ht="15.75" customHeight="1">
      <c r="A30" s="14" t="str">
        <f t="shared" si="1"/>
        <v/>
      </c>
      <c r="B30" s="24"/>
      <c r="C30" s="14"/>
      <c r="D30" s="14"/>
      <c r="E30" s="14" t="str">
        <f>IF(D30="","",IFERROR(VLOOKUP(D30,'Item Master'!$B$3:$C$302,2,0),"Unknown Code"))</f>
        <v/>
      </c>
      <c r="F30" s="14" t="str">
        <f>IF(D30="","",IFERROR(VLOOKUP(D30,'Item Master'!$B$3:$G$302,6,0),""))</f>
        <v/>
      </c>
      <c r="G30" s="19"/>
      <c r="H30" s="14"/>
      <c r="I30" s="14"/>
      <c r="J30" s="14"/>
    </row>
    <row r="31" ht="15.75" customHeight="1">
      <c r="A31" s="14" t="str">
        <f t="shared" si="1"/>
        <v/>
      </c>
      <c r="B31" s="24"/>
      <c r="C31" s="14"/>
      <c r="D31" s="14"/>
      <c r="E31" s="14" t="str">
        <f>IF(D31="","",IFERROR(VLOOKUP(D31,'Item Master'!$B$3:$C$302,2,0),"Unknown Code"))</f>
        <v/>
      </c>
      <c r="F31" s="14" t="str">
        <f>IF(D31="","",IFERROR(VLOOKUP(D31,'Item Master'!$B$3:$G$302,6,0),""))</f>
        <v/>
      </c>
      <c r="G31" s="19"/>
      <c r="H31" s="14"/>
      <c r="I31" s="14"/>
      <c r="J31" s="14"/>
    </row>
    <row r="32" ht="15.75" customHeight="1">
      <c r="A32" s="14" t="str">
        <f t="shared" si="1"/>
        <v/>
      </c>
      <c r="B32" s="24"/>
      <c r="C32" s="14"/>
      <c r="D32" s="14"/>
      <c r="E32" s="14" t="str">
        <f>IF(D32="","",IFERROR(VLOOKUP(D32,'Item Master'!$B$3:$C$302,2,0),"Unknown Code"))</f>
        <v/>
      </c>
      <c r="F32" s="14" t="str">
        <f>IF(D32="","",IFERROR(VLOOKUP(D32,'Item Master'!$B$3:$G$302,6,0),""))</f>
        <v/>
      </c>
      <c r="G32" s="19"/>
      <c r="H32" s="14"/>
      <c r="I32" s="14"/>
      <c r="J32" s="14"/>
    </row>
    <row r="33" ht="15.75" customHeight="1">
      <c r="A33" s="14" t="str">
        <f t="shared" si="1"/>
        <v/>
      </c>
      <c r="B33" s="24"/>
      <c r="C33" s="14"/>
      <c r="D33" s="14"/>
      <c r="E33" s="14" t="str">
        <f>IF(D33="","",IFERROR(VLOOKUP(D33,'Item Master'!$B$3:$C$302,2,0),"Unknown Code"))</f>
        <v/>
      </c>
      <c r="F33" s="14" t="str">
        <f>IF(D33="","",IFERROR(VLOOKUP(D33,'Item Master'!$B$3:$G$302,6,0),""))</f>
        <v/>
      </c>
      <c r="G33" s="19"/>
      <c r="H33" s="14"/>
      <c r="I33" s="14"/>
      <c r="J33" s="14"/>
    </row>
    <row r="34" ht="15.75" customHeight="1">
      <c r="A34" s="14" t="str">
        <f t="shared" si="1"/>
        <v/>
      </c>
      <c r="B34" s="24"/>
      <c r="C34" s="14"/>
      <c r="D34" s="14"/>
      <c r="E34" s="14" t="str">
        <f>IF(D34="","",IFERROR(VLOOKUP(D34,'Item Master'!$B$3:$C$302,2,0),"Unknown Code"))</f>
        <v/>
      </c>
      <c r="F34" s="14" t="str">
        <f>IF(D34="","",IFERROR(VLOOKUP(D34,'Item Master'!$B$3:$G$302,6,0),""))</f>
        <v/>
      </c>
      <c r="G34" s="19"/>
      <c r="H34" s="14"/>
      <c r="I34" s="14"/>
      <c r="J34" s="14"/>
    </row>
    <row r="35" ht="15.75" customHeight="1">
      <c r="A35" s="14" t="str">
        <f t="shared" si="1"/>
        <v/>
      </c>
      <c r="B35" s="24"/>
      <c r="C35" s="14"/>
      <c r="D35" s="14"/>
      <c r="E35" s="14" t="str">
        <f>IF(D35="","",IFERROR(VLOOKUP(D35,'Item Master'!$B$3:$C$302,2,0),"Unknown Code"))</f>
        <v/>
      </c>
      <c r="F35" s="14" t="str">
        <f>IF(D35="","",IFERROR(VLOOKUP(D35,'Item Master'!$B$3:$G$302,6,0),""))</f>
        <v/>
      </c>
      <c r="G35" s="19"/>
      <c r="H35" s="14"/>
      <c r="I35" s="14"/>
      <c r="J35" s="14"/>
    </row>
    <row r="36" ht="15.75" customHeight="1">
      <c r="A36" s="14" t="str">
        <f t="shared" si="1"/>
        <v/>
      </c>
      <c r="B36" s="24"/>
      <c r="C36" s="14"/>
      <c r="D36" s="14"/>
      <c r="E36" s="14" t="str">
        <f>IF(D36="","",IFERROR(VLOOKUP(D36,'Item Master'!$B$3:$C$302,2,0),"Unknown Code"))</f>
        <v/>
      </c>
      <c r="F36" s="14" t="str">
        <f>IF(D36="","",IFERROR(VLOOKUP(D36,'Item Master'!$B$3:$G$302,6,0),""))</f>
        <v/>
      </c>
      <c r="G36" s="19"/>
      <c r="H36" s="14"/>
      <c r="I36" s="14"/>
      <c r="J36" s="14"/>
    </row>
    <row r="37" ht="15.75" customHeight="1">
      <c r="A37" s="14" t="str">
        <f t="shared" si="1"/>
        <v/>
      </c>
      <c r="B37" s="24"/>
      <c r="C37" s="14"/>
      <c r="D37" s="14"/>
      <c r="E37" s="14" t="str">
        <f>IF(D37="","",IFERROR(VLOOKUP(D37,'Item Master'!$B$3:$C$302,2,0),"Unknown Code"))</f>
        <v/>
      </c>
      <c r="F37" s="14" t="str">
        <f>IF(D37="","",IFERROR(VLOOKUP(D37,'Item Master'!$B$3:$G$302,6,0),""))</f>
        <v/>
      </c>
      <c r="G37" s="19"/>
      <c r="H37" s="14"/>
      <c r="I37" s="14"/>
      <c r="J37" s="14"/>
    </row>
    <row r="38" ht="15.75" customHeight="1">
      <c r="A38" s="14" t="str">
        <f t="shared" si="1"/>
        <v/>
      </c>
      <c r="B38" s="24"/>
      <c r="C38" s="14"/>
      <c r="D38" s="14"/>
      <c r="E38" s="14" t="str">
        <f>IF(D38="","",IFERROR(VLOOKUP(D38,'Item Master'!$B$3:$C$302,2,0),"Unknown Code"))</f>
        <v/>
      </c>
      <c r="F38" s="14" t="str">
        <f>IF(D38="","",IFERROR(VLOOKUP(D38,'Item Master'!$B$3:$G$302,6,0),""))</f>
        <v/>
      </c>
      <c r="G38" s="19"/>
      <c r="H38" s="14"/>
      <c r="I38" s="14"/>
      <c r="J38" s="14"/>
    </row>
    <row r="39" ht="15.75" customHeight="1">
      <c r="A39" s="14" t="str">
        <f t="shared" si="1"/>
        <v/>
      </c>
      <c r="B39" s="24"/>
      <c r="C39" s="14"/>
      <c r="D39" s="14"/>
      <c r="E39" s="14" t="str">
        <f>IF(D39="","",IFERROR(VLOOKUP(D39,'Item Master'!$B$3:$C$302,2,0),"Unknown Code"))</f>
        <v/>
      </c>
      <c r="F39" s="14" t="str">
        <f>IF(D39="","",IFERROR(VLOOKUP(D39,'Item Master'!$B$3:$G$302,6,0),""))</f>
        <v/>
      </c>
      <c r="G39" s="19"/>
      <c r="H39" s="14"/>
      <c r="I39" s="14"/>
      <c r="J39" s="14"/>
    </row>
    <row r="40" ht="15.75" customHeight="1">
      <c r="A40" s="14" t="str">
        <f t="shared" si="1"/>
        <v/>
      </c>
      <c r="B40" s="24"/>
      <c r="C40" s="14"/>
      <c r="D40" s="14"/>
      <c r="E40" s="14" t="str">
        <f>IF(D40="","",IFERROR(VLOOKUP(D40,'Item Master'!$B$3:$C$302,2,0),"Unknown Code"))</f>
        <v/>
      </c>
      <c r="F40" s="14" t="str">
        <f>IF(D40="","",IFERROR(VLOOKUP(D40,'Item Master'!$B$3:$G$302,6,0),""))</f>
        <v/>
      </c>
      <c r="G40" s="19"/>
      <c r="H40" s="14"/>
      <c r="I40" s="14"/>
      <c r="J40" s="14"/>
    </row>
    <row r="41" ht="15.75" customHeight="1">
      <c r="A41" s="14" t="str">
        <f t="shared" si="1"/>
        <v/>
      </c>
      <c r="B41" s="24"/>
      <c r="C41" s="14"/>
      <c r="D41" s="14"/>
      <c r="E41" s="14" t="str">
        <f>IF(D41="","",IFERROR(VLOOKUP(D41,'Item Master'!$B$3:$C$302,2,0),"Unknown Code"))</f>
        <v/>
      </c>
      <c r="F41" s="14" t="str">
        <f>IF(D41="","",IFERROR(VLOOKUP(D41,'Item Master'!$B$3:$G$302,6,0),""))</f>
        <v/>
      </c>
      <c r="G41" s="19"/>
      <c r="H41" s="14"/>
      <c r="I41" s="14"/>
      <c r="J41" s="14"/>
    </row>
    <row r="42" ht="15.75" customHeight="1">
      <c r="A42" s="14" t="str">
        <f t="shared" si="1"/>
        <v/>
      </c>
      <c r="B42" s="24"/>
      <c r="C42" s="14"/>
      <c r="D42" s="14"/>
      <c r="E42" s="14" t="str">
        <f>IF(D42="","",IFERROR(VLOOKUP(D42,'Item Master'!$B$3:$C$302,2,0),"Unknown Code"))</f>
        <v/>
      </c>
      <c r="F42" s="14" t="str">
        <f>IF(D42="","",IFERROR(VLOOKUP(D42,'Item Master'!$B$3:$G$302,6,0),""))</f>
        <v/>
      </c>
      <c r="G42" s="19"/>
      <c r="H42" s="14"/>
      <c r="I42" s="14"/>
      <c r="J42" s="14"/>
    </row>
    <row r="43" ht="15.75" customHeight="1">
      <c r="A43" s="14" t="str">
        <f t="shared" si="1"/>
        <v/>
      </c>
      <c r="B43" s="24"/>
      <c r="C43" s="14"/>
      <c r="D43" s="14"/>
      <c r="E43" s="14" t="str">
        <f>IF(D43="","",IFERROR(VLOOKUP(D43,'Item Master'!$B$3:$C$302,2,0),"Unknown Code"))</f>
        <v/>
      </c>
      <c r="F43" s="14" t="str">
        <f>IF(D43="","",IFERROR(VLOOKUP(D43,'Item Master'!$B$3:$G$302,6,0),""))</f>
        <v/>
      </c>
      <c r="G43" s="19"/>
      <c r="H43" s="14"/>
      <c r="I43" s="14"/>
      <c r="J43" s="14"/>
    </row>
    <row r="44" ht="15.75" customHeight="1">
      <c r="A44" s="14" t="str">
        <f t="shared" si="1"/>
        <v/>
      </c>
      <c r="B44" s="24"/>
      <c r="C44" s="14"/>
      <c r="D44" s="14"/>
      <c r="E44" s="14" t="str">
        <f>IF(D44="","",IFERROR(VLOOKUP(D44,'Item Master'!$B$3:$C$302,2,0),"Unknown Code"))</f>
        <v/>
      </c>
      <c r="F44" s="14" t="str">
        <f>IF(D44="","",IFERROR(VLOOKUP(D44,'Item Master'!$B$3:$G$302,6,0),""))</f>
        <v/>
      </c>
      <c r="G44" s="19"/>
      <c r="H44" s="14"/>
      <c r="I44" s="14"/>
      <c r="J44" s="14"/>
    </row>
    <row r="45" ht="15.75" customHeight="1">
      <c r="A45" s="14" t="str">
        <f t="shared" si="1"/>
        <v/>
      </c>
      <c r="B45" s="24"/>
      <c r="C45" s="14"/>
      <c r="D45" s="14"/>
      <c r="E45" s="14" t="str">
        <f>IF(D45="","",IFERROR(VLOOKUP(D45,'Item Master'!$B$3:$C$302,2,0),"Unknown Code"))</f>
        <v/>
      </c>
      <c r="F45" s="14" t="str">
        <f>IF(D45="","",IFERROR(VLOOKUP(D45,'Item Master'!$B$3:$G$302,6,0),""))</f>
        <v/>
      </c>
      <c r="G45" s="19"/>
      <c r="H45" s="14"/>
      <c r="I45" s="14"/>
      <c r="J45" s="14"/>
    </row>
    <row r="46" ht="15.75" customHeight="1">
      <c r="A46" s="14" t="str">
        <f t="shared" si="1"/>
        <v/>
      </c>
      <c r="B46" s="24"/>
      <c r="C46" s="14"/>
      <c r="D46" s="14"/>
      <c r="E46" s="14" t="str">
        <f>IF(D46="","",IFERROR(VLOOKUP(D46,'Item Master'!$B$3:$C$302,2,0),"Unknown Code"))</f>
        <v/>
      </c>
      <c r="F46" s="14" t="str">
        <f>IF(D46="","",IFERROR(VLOOKUP(D46,'Item Master'!$B$3:$G$302,6,0),""))</f>
        <v/>
      </c>
      <c r="G46" s="19"/>
      <c r="H46" s="14"/>
      <c r="I46" s="14"/>
      <c r="J46" s="14"/>
    </row>
    <row r="47" ht="15.75" customHeight="1">
      <c r="A47" s="14" t="str">
        <f t="shared" si="1"/>
        <v/>
      </c>
      <c r="B47" s="24"/>
      <c r="C47" s="14"/>
      <c r="D47" s="14"/>
      <c r="E47" s="14" t="str">
        <f>IF(D47="","",IFERROR(VLOOKUP(D47,'Item Master'!$B$3:$C$302,2,0),"Unknown Code"))</f>
        <v/>
      </c>
      <c r="F47" s="14" t="str">
        <f>IF(D47="","",IFERROR(VLOOKUP(D47,'Item Master'!$B$3:$G$302,6,0),""))</f>
        <v/>
      </c>
      <c r="G47" s="19"/>
      <c r="H47" s="14"/>
      <c r="I47" s="14"/>
      <c r="J47" s="14"/>
    </row>
    <row r="48" ht="15.75" customHeight="1">
      <c r="A48" s="14" t="str">
        <f t="shared" si="1"/>
        <v/>
      </c>
      <c r="B48" s="24"/>
      <c r="C48" s="14"/>
      <c r="D48" s="14"/>
      <c r="E48" s="14" t="str">
        <f>IF(D48="","",IFERROR(VLOOKUP(D48,'Item Master'!$B$3:$C$302,2,0),"Unknown Code"))</f>
        <v/>
      </c>
      <c r="F48" s="14" t="str">
        <f>IF(D48="","",IFERROR(VLOOKUP(D48,'Item Master'!$B$3:$G$302,6,0),""))</f>
        <v/>
      </c>
      <c r="G48" s="19"/>
      <c r="H48" s="14"/>
      <c r="I48" s="14"/>
      <c r="J48" s="14"/>
    </row>
    <row r="49" ht="15.75" customHeight="1">
      <c r="A49" s="14" t="str">
        <f t="shared" si="1"/>
        <v/>
      </c>
      <c r="B49" s="24"/>
      <c r="C49" s="14"/>
      <c r="D49" s="14"/>
      <c r="E49" s="14" t="str">
        <f>IF(D49="","",IFERROR(VLOOKUP(D49,'Item Master'!$B$3:$C$302,2,0),"Unknown Code"))</f>
        <v/>
      </c>
      <c r="F49" s="14" t="str">
        <f>IF(D49="","",IFERROR(VLOOKUP(D49,'Item Master'!$B$3:$G$302,6,0),""))</f>
        <v/>
      </c>
      <c r="G49" s="19"/>
      <c r="H49" s="14"/>
      <c r="I49" s="14"/>
      <c r="J49" s="14"/>
    </row>
    <row r="50" ht="15.75" customHeight="1">
      <c r="A50" s="14" t="str">
        <f t="shared" si="1"/>
        <v/>
      </c>
      <c r="B50" s="24"/>
      <c r="C50" s="14"/>
      <c r="D50" s="14"/>
      <c r="E50" s="14" t="str">
        <f>IF(D50="","",IFERROR(VLOOKUP(D50,'Item Master'!$B$3:$C$302,2,0),"Unknown Code"))</f>
        <v/>
      </c>
      <c r="F50" s="14" t="str">
        <f>IF(D50="","",IFERROR(VLOOKUP(D50,'Item Master'!$B$3:$G$302,6,0),""))</f>
        <v/>
      </c>
      <c r="G50" s="19"/>
      <c r="H50" s="14"/>
      <c r="I50" s="14"/>
      <c r="J50" s="14"/>
    </row>
    <row r="51" ht="15.75" customHeight="1">
      <c r="A51" s="14" t="str">
        <f t="shared" si="1"/>
        <v/>
      </c>
      <c r="B51" s="24"/>
      <c r="C51" s="14"/>
      <c r="D51" s="14"/>
      <c r="E51" s="14" t="str">
        <f>IF(D51="","",IFERROR(VLOOKUP(D51,'Item Master'!$B$3:$C$302,2,0),"Unknown Code"))</f>
        <v/>
      </c>
      <c r="F51" s="14" t="str">
        <f>IF(D51="","",IFERROR(VLOOKUP(D51,'Item Master'!$B$3:$G$302,6,0),""))</f>
        <v/>
      </c>
      <c r="G51" s="19"/>
      <c r="H51" s="14"/>
      <c r="I51" s="14"/>
      <c r="J51" s="14"/>
    </row>
    <row r="52" ht="15.75" customHeight="1">
      <c r="A52" s="14" t="str">
        <f t="shared" si="1"/>
        <v/>
      </c>
      <c r="B52" s="24"/>
      <c r="C52" s="14"/>
      <c r="D52" s="14"/>
      <c r="E52" s="14" t="str">
        <f>IF(D52="","",IFERROR(VLOOKUP(D52,'Item Master'!$B$3:$C$302,2,0),"Unknown Code"))</f>
        <v/>
      </c>
      <c r="F52" s="14" t="str">
        <f>IF(D52="","",IFERROR(VLOOKUP(D52,'Item Master'!$B$3:$G$302,6,0),""))</f>
        <v/>
      </c>
      <c r="G52" s="19"/>
      <c r="H52" s="14"/>
      <c r="I52" s="14"/>
      <c r="J52" s="14"/>
    </row>
    <row r="53" ht="15.75" customHeight="1">
      <c r="A53" s="14" t="str">
        <f t="shared" si="1"/>
        <v/>
      </c>
      <c r="B53" s="24"/>
      <c r="C53" s="14"/>
      <c r="D53" s="14"/>
      <c r="E53" s="14" t="str">
        <f>IF(D53="","",IFERROR(VLOOKUP(D53,'Item Master'!$B$3:$C$302,2,0),"Unknown Code"))</f>
        <v/>
      </c>
      <c r="F53" s="14" t="str">
        <f>IF(D53="","",IFERROR(VLOOKUP(D53,'Item Master'!$B$3:$G$302,6,0),""))</f>
        <v/>
      </c>
      <c r="G53" s="19"/>
      <c r="H53" s="14"/>
      <c r="I53" s="14"/>
      <c r="J53" s="14"/>
    </row>
    <row r="54" ht="15.75" customHeight="1">
      <c r="A54" s="14" t="str">
        <f t="shared" si="1"/>
        <v/>
      </c>
      <c r="B54" s="24"/>
      <c r="C54" s="14"/>
      <c r="D54" s="14"/>
      <c r="E54" s="14" t="str">
        <f>IF(D54="","",IFERROR(VLOOKUP(D54,'Item Master'!$B$3:$C$302,2,0),"Unknown Code"))</f>
        <v/>
      </c>
      <c r="F54" s="14" t="str">
        <f>IF(D54="","",IFERROR(VLOOKUP(D54,'Item Master'!$B$3:$G$302,6,0),""))</f>
        <v/>
      </c>
      <c r="G54" s="19"/>
      <c r="H54" s="14"/>
      <c r="I54" s="14"/>
      <c r="J54" s="14"/>
    </row>
    <row r="55" ht="15.75" customHeight="1">
      <c r="A55" s="14" t="str">
        <f t="shared" si="1"/>
        <v/>
      </c>
      <c r="B55" s="24"/>
      <c r="C55" s="14"/>
      <c r="D55" s="14"/>
      <c r="E55" s="14" t="str">
        <f>IF(D55="","",IFERROR(VLOOKUP(D55,'Item Master'!$B$3:$C$302,2,0),"Unknown Code"))</f>
        <v/>
      </c>
      <c r="F55" s="14" t="str">
        <f>IF(D55="","",IFERROR(VLOOKUP(D55,'Item Master'!$B$3:$G$302,6,0),""))</f>
        <v/>
      </c>
      <c r="G55" s="19"/>
      <c r="H55" s="14"/>
      <c r="I55" s="14"/>
      <c r="J55" s="14"/>
    </row>
    <row r="56" ht="15.75" customHeight="1">
      <c r="A56" s="14" t="str">
        <f t="shared" si="1"/>
        <v/>
      </c>
      <c r="B56" s="24"/>
      <c r="C56" s="14"/>
      <c r="D56" s="14"/>
      <c r="E56" s="14" t="str">
        <f>IF(D56="","",IFERROR(VLOOKUP(D56,'Item Master'!$B$3:$C$302,2,0),"Unknown Code"))</f>
        <v/>
      </c>
      <c r="F56" s="14" t="str">
        <f>IF(D56="","",IFERROR(VLOOKUP(D56,'Item Master'!$B$3:$G$302,6,0),""))</f>
        <v/>
      </c>
      <c r="G56" s="19"/>
      <c r="H56" s="14"/>
      <c r="I56" s="14"/>
      <c r="J56" s="14"/>
    </row>
    <row r="57" ht="15.75" customHeight="1">
      <c r="A57" s="14" t="str">
        <f t="shared" si="1"/>
        <v/>
      </c>
      <c r="B57" s="24"/>
      <c r="C57" s="14"/>
      <c r="D57" s="14"/>
      <c r="E57" s="14" t="str">
        <f>IF(D57="","",IFERROR(VLOOKUP(D57,'Item Master'!$B$3:$C$302,2,0),"Unknown Code"))</f>
        <v/>
      </c>
      <c r="F57" s="14" t="str">
        <f>IF(D57="","",IFERROR(VLOOKUP(D57,'Item Master'!$B$3:$G$302,6,0),""))</f>
        <v/>
      </c>
      <c r="G57" s="19"/>
      <c r="H57" s="14"/>
      <c r="I57" s="14"/>
      <c r="J57" s="14"/>
    </row>
    <row r="58" ht="15.75" customHeight="1">
      <c r="A58" s="14" t="str">
        <f t="shared" si="1"/>
        <v/>
      </c>
      <c r="B58" s="24"/>
      <c r="C58" s="14"/>
      <c r="D58" s="14"/>
      <c r="E58" s="14" t="str">
        <f>IF(D58="","",IFERROR(VLOOKUP(D58,'Item Master'!$B$3:$C$302,2,0),"Unknown Code"))</f>
        <v/>
      </c>
      <c r="F58" s="14" t="str">
        <f>IF(D58="","",IFERROR(VLOOKUP(D58,'Item Master'!$B$3:$G$302,6,0),""))</f>
        <v/>
      </c>
      <c r="G58" s="19"/>
      <c r="H58" s="14"/>
      <c r="I58" s="14"/>
      <c r="J58" s="14"/>
    </row>
    <row r="59" ht="15.75" customHeight="1">
      <c r="A59" s="14" t="str">
        <f t="shared" si="1"/>
        <v/>
      </c>
      <c r="B59" s="24"/>
      <c r="C59" s="14"/>
      <c r="D59" s="14"/>
      <c r="E59" s="14" t="str">
        <f>IF(D59="","",IFERROR(VLOOKUP(D59,'Item Master'!$B$3:$C$302,2,0),"Unknown Code"))</f>
        <v/>
      </c>
      <c r="F59" s="14" t="str">
        <f>IF(D59="","",IFERROR(VLOOKUP(D59,'Item Master'!$B$3:$G$302,6,0),""))</f>
        <v/>
      </c>
      <c r="G59" s="19"/>
      <c r="H59" s="14"/>
      <c r="I59" s="14"/>
      <c r="J59" s="14"/>
    </row>
    <row r="60" ht="15.75" customHeight="1">
      <c r="A60" s="14" t="str">
        <f t="shared" si="1"/>
        <v/>
      </c>
      <c r="B60" s="24"/>
      <c r="C60" s="14"/>
      <c r="D60" s="14"/>
      <c r="E60" s="14" t="str">
        <f>IF(D60="","",IFERROR(VLOOKUP(D60,'Item Master'!$B$3:$C$302,2,0),"Unknown Code"))</f>
        <v/>
      </c>
      <c r="F60" s="14" t="str">
        <f>IF(D60="","",IFERROR(VLOOKUP(D60,'Item Master'!$B$3:$G$302,6,0),""))</f>
        <v/>
      </c>
      <c r="G60" s="19"/>
      <c r="H60" s="14"/>
      <c r="I60" s="14"/>
      <c r="J60" s="14"/>
    </row>
    <row r="61" ht="15.75" customHeight="1">
      <c r="A61" s="14" t="str">
        <f t="shared" si="1"/>
        <v/>
      </c>
      <c r="B61" s="24"/>
      <c r="C61" s="14"/>
      <c r="D61" s="14"/>
      <c r="E61" s="14" t="str">
        <f>IF(D61="","",IFERROR(VLOOKUP(D61,'Item Master'!$B$3:$C$302,2,0),"Unknown Code"))</f>
        <v/>
      </c>
      <c r="F61" s="14" t="str">
        <f>IF(D61="","",IFERROR(VLOOKUP(D61,'Item Master'!$B$3:$G$302,6,0),""))</f>
        <v/>
      </c>
      <c r="G61" s="19"/>
      <c r="H61" s="14"/>
      <c r="I61" s="14"/>
      <c r="J61" s="14"/>
    </row>
    <row r="62" ht="15.75" customHeight="1">
      <c r="A62" s="14" t="str">
        <f t="shared" si="1"/>
        <v/>
      </c>
      <c r="B62" s="24"/>
      <c r="C62" s="14"/>
      <c r="D62" s="14"/>
      <c r="E62" s="14" t="str">
        <f>IF(D62="","",IFERROR(VLOOKUP(D62,'Item Master'!$B$3:$C$302,2,0),"Unknown Code"))</f>
        <v/>
      </c>
      <c r="F62" s="14" t="str">
        <f>IF(D62="","",IFERROR(VLOOKUP(D62,'Item Master'!$B$3:$G$302,6,0),""))</f>
        <v/>
      </c>
      <c r="G62" s="19"/>
      <c r="H62" s="14"/>
      <c r="I62" s="14"/>
      <c r="J62" s="14"/>
    </row>
    <row r="63" ht="15.75" customHeight="1">
      <c r="A63" s="14" t="str">
        <f t="shared" si="1"/>
        <v/>
      </c>
      <c r="B63" s="24"/>
      <c r="C63" s="14"/>
      <c r="D63" s="14"/>
      <c r="E63" s="14" t="str">
        <f>IF(D63="","",IFERROR(VLOOKUP(D63,'Item Master'!$B$3:$C$302,2,0),"Unknown Code"))</f>
        <v/>
      </c>
      <c r="F63" s="14" t="str">
        <f>IF(D63="","",IFERROR(VLOOKUP(D63,'Item Master'!$B$3:$G$302,6,0),""))</f>
        <v/>
      </c>
      <c r="G63" s="19"/>
      <c r="H63" s="14"/>
      <c r="I63" s="14"/>
      <c r="J63" s="14"/>
    </row>
    <row r="64" ht="15.75" customHeight="1">
      <c r="A64" s="14" t="str">
        <f t="shared" si="1"/>
        <v/>
      </c>
      <c r="B64" s="24"/>
      <c r="C64" s="14"/>
      <c r="D64" s="14"/>
      <c r="E64" s="14" t="str">
        <f>IF(D64="","",IFERROR(VLOOKUP(D64,'Item Master'!$B$3:$C$302,2,0),"Unknown Code"))</f>
        <v/>
      </c>
      <c r="F64" s="14" t="str">
        <f>IF(D64="","",IFERROR(VLOOKUP(D64,'Item Master'!$B$3:$G$302,6,0),""))</f>
        <v/>
      </c>
      <c r="G64" s="19"/>
      <c r="H64" s="14"/>
      <c r="I64" s="14"/>
      <c r="J64" s="14"/>
    </row>
    <row r="65" ht="15.75" customHeight="1">
      <c r="A65" s="14" t="str">
        <f t="shared" si="1"/>
        <v/>
      </c>
      <c r="B65" s="24"/>
      <c r="C65" s="14"/>
      <c r="D65" s="14"/>
      <c r="E65" s="14" t="str">
        <f>IF(D65="","",IFERROR(VLOOKUP(D65,'Item Master'!$B$3:$C$302,2,0),"Unknown Code"))</f>
        <v/>
      </c>
      <c r="F65" s="14" t="str">
        <f>IF(D65="","",IFERROR(VLOOKUP(D65,'Item Master'!$B$3:$G$302,6,0),""))</f>
        <v/>
      </c>
      <c r="G65" s="19"/>
      <c r="H65" s="14"/>
      <c r="I65" s="14"/>
      <c r="J65" s="14"/>
    </row>
    <row r="66" ht="15.75" customHeight="1">
      <c r="A66" s="14" t="str">
        <f t="shared" si="1"/>
        <v/>
      </c>
      <c r="B66" s="24"/>
      <c r="C66" s="14"/>
      <c r="D66" s="14"/>
      <c r="E66" s="14" t="str">
        <f>IF(D66="","",IFERROR(VLOOKUP(D66,'Item Master'!$B$3:$C$302,2,0),"Unknown Code"))</f>
        <v/>
      </c>
      <c r="F66" s="14" t="str">
        <f>IF(D66="","",IFERROR(VLOOKUP(D66,'Item Master'!$B$3:$G$302,6,0),""))</f>
        <v/>
      </c>
      <c r="G66" s="19"/>
      <c r="H66" s="14"/>
      <c r="I66" s="14"/>
      <c r="J66" s="14"/>
    </row>
    <row r="67" ht="15.75" customHeight="1">
      <c r="A67" s="14" t="str">
        <f t="shared" si="1"/>
        <v/>
      </c>
      <c r="B67" s="24"/>
      <c r="C67" s="14"/>
      <c r="D67" s="14"/>
      <c r="E67" s="14" t="str">
        <f>IF(D67="","",IFERROR(VLOOKUP(D67,'Item Master'!$B$3:$C$302,2,0),"Unknown Code"))</f>
        <v/>
      </c>
      <c r="F67" s="14" t="str">
        <f>IF(D67="","",IFERROR(VLOOKUP(D67,'Item Master'!$B$3:$G$302,6,0),""))</f>
        <v/>
      </c>
      <c r="G67" s="19"/>
      <c r="H67" s="14"/>
      <c r="I67" s="14"/>
      <c r="J67" s="14"/>
    </row>
    <row r="68" ht="15.75" customHeight="1">
      <c r="A68" s="14" t="str">
        <f t="shared" si="1"/>
        <v/>
      </c>
      <c r="B68" s="24"/>
      <c r="C68" s="14"/>
      <c r="D68" s="14"/>
      <c r="E68" s="14" t="str">
        <f>IF(D68="","",IFERROR(VLOOKUP(D68,'Item Master'!$B$3:$C$302,2,0),"Unknown Code"))</f>
        <v/>
      </c>
      <c r="F68" s="14" t="str">
        <f>IF(D68="","",IFERROR(VLOOKUP(D68,'Item Master'!$B$3:$G$302,6,0),""))</f>
        <v/>
      </c>
      <c r="G68" s="19"/>
      <c r="H68" s="14"/>
      <c r="I68" s="14"/>
      <c r="J68" s="14"/>
    </row>
    <row r="69" ht="15.75" customHeight="1">
      <c r="A69" s="14" t="str">
        <f t="shared" si="1"/>
        <v/>
      </c>
      <c r="B69" s="24"/>
      <c r="C69" s="14"/>
      <c r="D69" s="14"/>
      <c r="E69" s="14" t="str">
        <f>IF(D69="","",IFERROR(VLOOKUP(D69,'Item Master'!$B$3:$C$302,2,0),"Unknown Code"))</f>
        <v/>
      </c>
      <c r="F69" s="14" t="str">
        <f>IF(D69="","",IFERROR(VLOOKUP(D69,'Item Master'!$B$3:$G$302,6,0),""))</f>
        <v/>
      </c>
      <c r="G69" s="19"/>
      <c r="H69" s="14"/>
      <c r="I69" s="14"/>
      <c r="J69" s="14"/>
    </row>
    <row r="70" ht="15.75" customHeight="1">
      <c r="A70" s="14" t="str">
        <f t="shared" si="1"/>
        <v/>
      </c>
      <c r="B70" s="24"/>
      <c r="C70" s="14"/>
      <c r="D70" s="14"/>
      <c r="E70" s="14" t="str">
        <f>IF(D70="","",IFERROR(VLOOKUP(D70,'Item Master'!$B$3:$C$302,2,0),"Unknown Code"))</f>
        <v/>
      </c>
      <c r="F70" s="14" t="str">
        <f>IF(D70="","",IFERROR(VLOOKUP(D70,'Item Master'!$B$3:$G$302,6,0),""))</f>
        <v/>
      </c>
      <c r="G70" s="19"/>
      <c r="H70" s="14"/>
      <c r="I70" s="14"/>
      <c r="J70" s="14"/>
    </row>
    <row r="71" ht="15.75" customHeight="1">
      <c r="A71" s="14" t="str">
        <f t="shared" si="1"/>
        <v/>
      </c>
      <c r="B71" s="24"/>
      <c r="C71" s="14"/>
      <c r="D71" s="14"/>
      <c r="E71" s="14" t="str">
        <f>IF(D71="","",IFERROR(VLOOKUP(D71,'Item Master'!$B$3:$C$302,2,0),"Unknown Code"))</f>
        <v/>
      </c>
      <c r="F71" s="14" t="str">
        <f>IF(D71="","",IFERROR(VLOOKUP(D71,'Item Master'!$B$3:$G$302,6,0),""))</f>
        <v/>
      </c>
      <c r="G71" s="19"/>
      <c r="H71" s="14"/>
      <c r="I71" s="14"/>
      <c r="J71" s="14"/>
    </row>
    <row r="72" ht="15.75" customHeight="1">
      <c r="A72" s="14" t="str">
        <f t="shared" si="1"/>
        <v/>
      </c>
      <c r="B72" s="24"/>
      <c r="C72" s="14"/>
      <c r="D72" s="14"/>
      <c r="E72" s="14" t="str">
        <f>IF(D72="","",IFERROR(VLOOKUP(D72,'Item Master'!$B$3:$C$302,2,0),"Unknown Code"))</f>
        <v/>
      </c>
      <c r="F72" s="14" t="str">
        <f>IF(D72="","",IFERROR(VLOOKUP(D72,'Item Master'!$B$3:$G$302,6,0),""))</f>
        <v/>
      </c>
      <c r="G72" s="19"/>
      <c r="H72" s="14"/>
      <c r="I72" s="14"/>
      <c r="J72" s="14"/>
    </row>
    <row r="73" ht="15.75" customHeight="1">
      <c r="A73" s="14" t="str">
        <f t="shared" si="1"/>
        <v/>
      </c>
      <c r="B73" s="24"/>
      <c r="C73" s="14"/>
      <c r="D73" s="14"/>
      <c r="E73" s="14" t="str">
        <f>IF(D73="","",IFERROR(VLOOKUP(D73,'Item Master'!$B$3:$C$302,2,0),"Unknown Code"))</f>
        <v/>
      </c>
      <c r="F73" s="14" t="str">
        <f>IF(D73="","",IFERROR(VLOOKUP(D73,'Item Master'!$B$3:$G$302,6,0),""))</f>
        <v/>
      </c>
      <c r="G73" s="19"/>
      <c r="H73" s="14"/>
      <c r="I73" s="14"/>
      <c r="J73" s="14"/>
    </row>
    <row r="74" ht="15.75" customHeight="1">
      <c r="A74" s="14" t="str">
        <f t="shared" si="1"/>
        <v/>
      </c>
      <c r="B74" s="24"/>
      <c r="C74" s="14"/>
      <c r="D74" s="14"/>
      <c r="E74" s="14" t="str">
        <f>IF(D74="","",IFERROR(VLOOKUP(D74,'Item Master'!$B$3:$C$302,2,0),"Unknown Code"))</f>
        <v/>
      </c>
      <c r="F74" s="14" t="str">
        <f>IF(D74="","",IFERROR(VLOOKUP(D74,'Item Master'!$B$3:$G$302,6,0),""))</f>
        <v/>
      </c>
      <c r="G74" s="19"/>
      <c r="H74" s="14"/>
      <c r="I74" s="14"/>
      <c r="J74" s="14"/>
    </row>
    <row r="75" ht="15.75" customHeight="1">
      <c r="A75" s="14" t="str">
        <f t="shared" si="1"/>
        <v/>
      </c>
      <c r="B75" s="24"/>
      <c r="C75" s="14"/>
      <c r="D75" s="14"/>
      <c r="E75" s="14" t="str">
        <f>IF(D75="","",IFERROR(VLOOKUP(D75,'Item Master'!$B$3:$C$302,2,0),"Unknown Code"))</f>
        <v/>
      </c>
      <c r="F75" s="14" t="str">
        <f>IF(D75="","",IFERROR(VLOOKUP(D75,'Item Master'!$B$3:$G$302,6,0),""))</f>
        <v/>
      </c>
      <c r="G75" s="19"/>
      <c r="H75" s="14"/>
      <c r="I75" s="14"/>
      <c r="J75" s="14"/>
    </row>
    <row r="76" ht="15.75" customHeight="1">
      <c r="A76" s="14" t="str">
        <f t="shared" si="1"/>
        <v/>
      </c>
      <c r="B76" s="24"/>
      <c r="C76" s="14"/>
      <c r="D76" s="14"/>
      <c r="E76" s="14" t="str">
        <f>IF(D76="","",IFERROR(VLOOKUP(D76,'Item Master'!$B$3:$C$302,2,0),"Unknown Code"))</f>
        <v/>
      </c>
      <c r="F76" s="14" t="str">
        <f>IF(D76="","",IFERROR(VLOOKUP(D76,'Item Master'!$B$3:$G$302,6,0),""))</f>
        <v/>
      </c>
      <c r="G76" s="19"/>
      <c r="H76" s="14"/>
      <c r="I76" s="14"/>
      <c r="J76" s="14"/>
    </row>
    <row r="77" ht="15.75" customHeight="1">
      <c r="A77" s="14" t="str">
        <f t="shared" si="1"/>
        <v/>
      </c>
      <c r="B77" s="24"/>
      <c r="C77" s="14"/>
      <c r="D77" s="14"/>
      <c r="E77" s="14" t="str">
        <f>IF(D77="","",IFERROR(VLOOKUP(D77,'Item Master'!$B$3:$C$302,2,0),"Unknown Code"))</f>
        <v/>
      </c>
      <c r="F77" s="14" t="str">
        <f>IF(D77="","",IFERROR(VLOOKUP(D77,'Item Master'!$B$3:$G$302,6,0),""))</f>
        <v/>
      </c>
      <c r="G77" s="19"/>
      <c r="H77" s="14"/>
      <c r="I77" s="14"/>
      <c r="J77" s="14"/>
    </row>
    <row r="78" ht="15.75" customHeight="1">
      <c r="A78" s="14" t="str">
        <f t="shared" si="1"/>
        <v/>
      </c>
      <c r="B78" s="24"/>
      <c r="C78" s="14"/>
      <c r="D78" s="14"/>
      <c r="E78" s="14" t="str">
        <f>IF(D78="","",IFERROR(VLOOKUP(D78,'Item Master'!$B$3:$C$302,2,0),"Unknown Code"))</f>
        <v/>
      </c>
      <c r="F78" s="14" t="str">
        <f>IF(D78="","",IFERROR(VLOOKUP(D78,'Item Master'!$B$3:$G$302,6,0),""))</f>
        <v/>
      </c>
      <c r="G78" s="19"/>
      <c r="H78" s="14"/>
      <c r="I78" s="14"/>
      <c r="J78" s="14"/>
    </row>
    <row r="79" ht="15.75" customHeight="1">
      <c r="A79" s="14" t="str">
        <f t="shared" si="1"/>
        <v/>
      </c>
      <c r="B79" s="24"/>
      <c r="C79" s="14"/>
      <c r="D79" s="14"/>
      <c r="E79" s="14" t="str">
        <f>IF(D79="","",IFERROR(VLOOKUP(D79,'Item Master'!$B$3:$C$302,2,0),"Unknown Code"))</f>
        <v/>
      </c>
      <c r="F79" s="14" t="str">
        <f>IF(D79="","",IFERROR(VLOOKUP(D79,'Item Master'!$B$3:$G$302,6,0),""))</f>
        <v/>
      </c>
      <c r="G79" s="19"/>
      <c r="H79" s="14"/>
      <c r="I79" s="14"/>
      <c r="J79" s="14"/>
    </row>
    <row r="80" ht="15.75" customHeight="1">
      <c r="A80" s="14" t="str">
        <f t="shared" si="1"/>
        <v/>
      </c>
      <c r="B80" s="24"/>
      <c r="C80" s="14"/>
      <c r="D80" s="14"/>
      <c r="E80" s="14" t="str">
        <f>IF(D80="","",IFERROR(VLOOKUP(D80,'Item Master'!$B$3:$C$302,2,0),"Unknown Code"))</f>
        <v/>
      </c>
      <c r="F80" s="14" t="str">
        <f>IF(D80="","",IFERROR(VLOOKUP(D80,'Item Master'!$B$3:$G$302,6,0),""))</f>
        <v/>
      </c>
      <c r="G80" s="19"/>
      <c r="H80" s="14"/>
      <c r="I80" s="14"/>
      <c r="J80" s="14"/>
    </row>
    <row r="81" ht="15.75" customHeight="1">
      <c r="A81" s="14" t="str">
        <f t="shared" si="1"/>
        <v/>
      </c>
      <c r="B81" s="24"/>
      <c r="C81" s="14"/>
      <c r="D81" s="14"/>
      <c r="E81" s="14" t="str">
        <f>IF(D81="","",IFERROR(VLOOKUP(D81,'Item Master'!$B$3:$C$302,2,0),"Unknown Code"))</f>
        <v/>
      </c>
      <c r="F81" s="14" t="str">
        <f>IF(D81="","",IFERROR(VLOOKUP(D81,'Item Master'!$B$3:$G$302,6,0),""))</f>
        <v/>
      </c>
      <c r="G81" s="19"/>
      <c r="H81" s="14"/>
      <c r="I81" s="14"/>
      <c r="J81" s="14"/>
    </row>
    <row r="82" ht="15.75" customHeight="1">
      <c r="A82" s="14" t="str">
        <f t="shared" si="1"/>
        <v/>
      </c>
      <c r="B82" s="24"/>
      <c r="C82" s="14"/>
      <c r="D82" s="14"/>
      <c r="E82" s="14" t="str">
        <f>IF(D82="","",IFERROR(VLOOKUP(D82,'Item Master'!$B$3:$C$302,2,0),"Unknown Code"))</f>
        <v/>
      </c>
      <c r="F82" s="14" t="str">
        <f>IF(D82="","",IFERROR(VLOOKUP(D82,'Item Master'!$B$3:$G$302,6,0),""))</f>
        <v/>
      </c>
      <c r="G82" s="19"/>
      <c r="H82" s="14"/>
      <c r="I82" s="14"/>
      <c r="J82" s="14"/>
    </row>
    <row r="83" ht="15.75" customHeight="1">
      <c r="A83" s="14" t="str">
        <f t="shared" si="1"/>
        <v/>
      </c>
      <c r="B83" s="24"/>
      <c r="C83" s="14"/>
      <c r="D83" s="14"/>
      <c r="E83" s="14" t="str">
        <f>IF(D83="","",IFERROR(VLOOKUP(D83,'Item Master'!$B$3:$C$302,2,0),"Unknown Code"))</f>
        <v/>
      </c>
      <c r="F83" s="14" t="str">
        <f>IF(D83="","",IFERROR(VLOOKUP(D83,'Item Master'!$B$3:$G$302,6,0),""))</f>
        <v/>
      </c>
      <c r="G83" s="19"/>
      <c r="H83" s="14"/>
      <c r="I83" s="14"/>
      <c r="J83" s="14"/>
    </row>
    <row r="84" ht="15.75" customHeight="1">
      <c r="A84" s="14" t="str">
        <f t="shared" si="1"/>
        <v/>
      </c>
      <c r="B84" s="24"/>
      <c r="C84" s="14"/>
      <c r="D84" s="14"/>
      <c r="E84" s="14" t="str">
        <f>IF(D84="","",IFERROR(VLOOKUP(D84,'Item Master'!$B$3:$C$302,2,0),"Unknown Code"))</f>
        <v/>
      </c>
      <c r="F84" s="14" t="str">
        <f>IF(D84="","",IFERROR(VLOOKUP(D84,'Item Master'!$B$3:$G$302,6,0),""))</f>
        <v/>
      </c>
      <c r="G84" s="19"/>
      <c r="H84" s="14"/>
      <c r="I84" s="14"/>
      <c r="J84" s="14"/>
    </row>
    <row r="85" ht="15.75" customHeight="1">
      <c r="A85" s="14" t="str">
        <f t="shared" si="1"/>
        <v/>
      </c>
      <c r="B85" s="24"/>
      <c r="C85" s="14"/>
      <c r="D85" s="14"/>
      <c r="E85" s="14" t="str">
        <f>IF(D85="","",IFERROR(VLOOKUP(D85,'Item Master'!$B$3:$C$302,2,0),"Unknown Code"))</f>
        <v/>
      </c>
      <c r="F85" s="14" t="str">
        <f>IF(D85="","",IFERROR(VLOOKUP(D85,'Item Master'!$B$3:$G$302,6,0),""))</f>
        <v/>
      </c>
      <c r="G85" s="19"/>
      <c r="H85" s="14"/>
      <c r="I85" s="14"/>
      <c r="J85" s="14"/>
    </row>
    <row r="86" ht="15.75" customHeight="1">
      <c r="A86" s="14" t="str">
        <f t="shared" si="1"/>
        <v/>
      </c>
      <c r="B86" s="24"/>
      <c r="C86" s="14"/>
      <c r="D86" s="14"/>
      <c r="E86" s="14" t="str">
        <f>IF(D86="","",IFERROR(VLOOKUP(D86,'Item Master'!$B$3:$C$302,2,0),"Unknown Code"))</f>
        <v/>
      </c>
      <c r="F86" s="14" t="str">
        <f>IF(D86="","",IFERROR(VLOOKUP(D86,'Item Master'!$B$3:$G$302,6,0),""))</f>
        <v/>
      </c>
      <c r="G86" s="19"/>
      <c r="H86" s="14"/>
      <c r="I86" s="14"/>
      <c r="J86" s="14"/>
    </row>
    <row r="87" ht="15.75" customHeight="1">
      <c r="A87" s="14" t="str">
        <f t="shared" si="1"/>
        <v/>
      </c>
      <c r="B87" s="24"/>
      <c r="C87" s="14"/>
      <c r="D87" s="14"/>
      <c r="E87" s="14" t="str">
        <f>IF(D87="","",IFERROR(VLOOKUP(D87,'Item Master'!$B$3:$C$302,2,0),"Unknown Code"))</f>
        <v/>
      </c>
      <c r="F87" s="14" t="str">
        <f>IF(D87="","",IFERROR(VLOOKUP(D87,'Item Master'!$B$3:$G$302,6,0),""))</f>
        <v/>
      </c>
      <c r="G87" s="19"/>
      <c r="H87" s="14"/>
      <c r="I87" s="14"/>
      <c r="J87" s="14"/>
    </row>
    <row r="88" ht="15.75" customHeight="1">
      <c r="A88" s="14" t="str">
        <f t="shared" si="1"/>
        <v/>
      </c>
      <c r="B88" s="24"/>
      <c r="C88" s="14"/>
      <c r="D88" s="14"/>
      <c r="E88" s="14" t="str">
        <f>IF(D88="","",IFERROR(VLOOKUP(D88,'Item Master'!$B$3:$C$302,2,0),"Unknown Code"))</f>
        <v/>
      </c>
      <c r="F88" s="14" t="str">
        <f>IF(D88="","",IFERROR(VLOOKUP(D88,'Item Master'!$B$3:$G$302,6,0),""))</f>
        <v/>
      </c>
      <c r="G88" s="19"/>
      <c r="H88" s="14"/>
      <c r="I88" s="14"/>
      <c r="J88" s="14"/>
    </row>
    <row r="89" ht="15.75" customHeight="1">
      <c r="A89" s="14" t="str">
        <f t="shared" si="1"/>
        <v/>
      </c>
      <c r="B89" s="24"/>
      <c r="C89" s="14"/>
      <c r="D89" s="14"/>
      <c r="E89" s="14" t="str">
        <f>IF(D89="","",IFERROR(VLOOKUP(D89,'Item Master'!$B$3:$C$302,2,0),"Unknown Code"))</f>
        <v/>
      </c>
      <c r="F89" s="14" t="str">
        <f>IF(D89="","",IFERROR(VLOOKUP(D89,'Item Master'!$B$3:$G$302,6,0),""))</f>
        <v/>
      </c>
      <c r="G89" s="19"/>
      <c r="H89" s="14"/>
      <c r="I89" s="14"/>
      <c r="J89" s="14"/>
    </row>
    <row r="90" ht="15.75" customHeight="1">
      <c r="A90" s="14" t="str">
        <f t="shared" si="1"/>
        <v/>
      </c>
      <c r="B90" s="24"/>
      <c r="C90" s="14"/>
      <c r="D90" s="14"/>
      <c r="E90" s="14" t="str">
        <f>IF(D90="","",IFERROR(VLOOKUP(D90,'Item Master'!$B$3:$C$302,2,0),"Unknown Code"))</f>
        <v/>
      </c>
      <c r="F90" s="14" t="str">
        <f>IF(D90="","",IFERROR(VLOOKUP(D90,'Item Master'!$B$3:$G$302,6,0),""))</f>
        <v/>
      </c>
      <c r="G90" s="19"/>
      <c r="H90" s="14"/>
      <c r="I90" s="14"/>
      <c r="J90" s="14"/>
    </row>
    <row r="91" ht="15.75" customHeight="1">
      <c r="A91" s="14" t="str">
        <f t="shared" si="1"/>
        <v/>
      </c>
      <c r="B91" s="24"/>
      <c r="C91" s="14"/>
      <c r="D91" s="14"/>
      <c r="E91" s="14" t="str">
        <f>IF(D91="","",IFERROR(VLOOKUP(D91,'Item Master'!$B$3:$C$302,2,0),"Unknown Code"))</f>
        <v/>
      </c>
      <c r="F91" s="14" t="str">
        <f>IF(D91="","",IFERROR(VLOOKUP(D91,'Item Master'!$B$3:$G$302,6,0),""))</f>
        <v/>
      </c>
      <c r="G91" s="19"/>
      <c r="H91" s="14"/>
      <c r="I91" s="14"/>
      <c r="J91" s="14"/>
    </row>
    <row r="92" ht="15.75" customHeight="1">
      <c r="A92" s="14" t="str">
        <f t="shared" si="1"/>
        <v/>
      </c>
      <c r="B92" s="24"/>
      <c r="C92" s="14"/>
      <c r="D92" s="14"/>
      <c r="E92" s="14" t="str">
        <f>IF(D92="","",IFERROR(VLOOKUP(D92,'Item Master'!$B$3:$C$302,2,0),"Unknown Code"))</f>
        <v/>
      </c>
      <c r="F92" s="14" t="str">
        <f>IF(D92="","",IFERROR(VLOOKUP(D92,'Item Master'!$B$3:$G$302,6,0),""))</f>
        <v/>
      </c>
      <c r="G92" s="19"/>
      <c r="H92" s="14"/>
      <c r="I92" s="14"/>
      <c r="J92" s="14"/>
    </row>
    <row r="93" ht="15.75" customHeight="1">
      <c r="A93" s="14" t="str">
        <f t="shared" si="1"/>
        <v/>
      </c>
      <c r="B93" s="24"/>
      <c r="C93" s="14"/>
      <c r="D93" s="14"/>
      <c r="E93" s="14" t="str">
        <f>IF(D93="","",IFERROR(VLOOKUP(D93,'Item Master'!$B$3:$C$302,2,0),"Unknown Code"))</f>
        <v/>
      </c>
      <c r="F93" s="14" t="str">
        <f>IF(D93="","",IFERROR(VLOOKUP(D93,'Item Master'!$B$3:$G$302,6,0),""))</f>
        <v/>
      </c>
      <c r="G93" s="19"/>
      <c r="H93" s="14"/>
      <c r="I93" s="14"/>
      <c r="J93" s="14"/>
    </row>
    <row r="94" ht="15.75" customHeight="1">
      <c r="A94" s="14" t="str">
        <f t="shared" si="1"/>
        <v/>
      </c>
      <c r="B94" s="24"/>
      <c r="C94" s="14"/>
      <c r="D94" s="14"/>
      <c r="E94" s="14" t="str">
        <f>IF(D94="","",IFERROR(VLOOKUP(D94,'Item Master'!$B$3:$C$302,2,0),"Unknown Code"))</f>
        <v/>
      </c>
      <c r="F94" s="14" t="str">
        <f>IF(D94="","",IFERROR(VLOOKUP(D94,'Item Master'!$B$3:$G$302,6,0),""))</f>
        <v/>
      </c>
      <c r="G94" s="19"/>
      <c r="H94" s="14"/>
      <c r="I94" s="14"/>
      <c r="J94" s="14"/>
    </row>
    <row r="95" ht="15.75" customHeight="1">
      <c r="A95" s="14" t="str">
        <f t="shared" si="1"/>
        <v/>
      </c>
      <c r="B95" s="24"/>
      <c r="C95" s="14"/>
      <c r="D95" s="14"/>
      <c r="E95" s="14" t="str">
        <f>IF(D95="","",IFERROR(VLOOKUP(D95,'Item Master'!$B$3:$C$302,2,0),"Unknown Code"))</f>
        <v/>
      </c>
      <c r="F95" s="14" t="str">
        <f>IF(D95="","",IFERROR(VLOOKUP(D95,'Item Master'!$B$3:$G$302,6,0),""))</f>
        <v/>
      </c>
      <c r="G95" s="19"/>
      <c r="H95" s="14"/>
      <c r="I95" s="14"/>
      <c r="J95" s="14"/>
    </row>
    <row r="96" ht="15.75" customHeight="1">
      <c r="A96" s="14" t="str">
        <f t="shared" si="1"/>
        <v/>
      </c>
      <c r="B96" s="24"/>
      <c r="C96" s="14"/>
      <c r="D96" s="14"/>
      <c r="E96" s="14" t="str">
        <f>IF(D96="","",IFERROR(VLOOKUP(D96,'Item Master'!$B$3:$C$302,2,0),"Unknown Code"))</f>
        <v/>
      </c>
      <c r="F96" s="14" t="str">
        <f>IF(D96="","",IFERROR(VLOOKUP(D96,'Item Master'!$B$3:$G$302,6,0),""))</f>
        <v/>
      </c>
      <c r="G96" s="19"/>
      <c r="H96" s="14"/>
      <c r="I96" s="14"/>
      <c r="J96" s="14"/>
    </row>
    <row r="97" ht="15.75" customHeight="1">
      <c r="A97" s="14" t="str">
        <f t="shared" si="1"/>
        <v/>
      </c>
      <c r="B97" s="24"/>
      <c r="C97" s="14"/>
      <c r="D97" s="14"/>
      <c r="E97" s="14" t="str">
        <f>IF(D97="","",IFERROR(VLOOKUP(D97,'Item Master'!$B$3:$C$302,2,0),"Unknown Code"))</f>
        <v/>
      </c>
      <c r="F97" s="14" t="str">
        <f>IF(D97="","",IFERROR(VLOOKUP(D97,'Item Master'!$B$3:$G$302,6,0),""))</f>
        <v/>
      </c>
      <c r="G97" s="19"/>
      <c r="H97" s="14"/>
      <c r="I97" s="14"/>
      <c r="J97" s="14"/>
    </row>
    <row r="98" ht="15.75" customHeight="1">
      <c r="A98" s="14" t="str">
        <f t="shared" si="1"/>
        <v/>
      </c>
      <c r="B98" s="24"/>
      <c r="C98" s="14"/>
      <c r="D98" s="14"/>
      <c r="E98" s="14" t="str">
        <f>IF(D98="","",IFERROR(VLOOKUP(D98,'Item Master'!$B$3:$C$302,2,0),"Unknown Code"))</f>
        <v/>
      </c>
      <c r="F98" s="14" t="str">
        <f>IF(D98="","",IFERROR(VLOOKUP(D98,'Item Master'!$B$3:$G$302,6,0),""))</f>
        <v/>
      </c>
      <c r="G98" s="19"/>
      <c r="H98" s="14"/>
      <c r="I98" s="14"/>
      <c r="J98" s="14"/>
    </row>
    <row r="99" ht="15.75" customHeight="1">
      <c r="A99" s="14" t="str">
        <f t="shared" si="1"/>
        <v/>
      </c>
      <c r="B99" s="24"/>
      <c r="C99" s="14"/>
      <c r="D99" s="14"/>
      <c r="E99" s="14" t="str">
        <f>IF(D99="","",IFERROR(VLOOKUP(D99,'Item Master'!$B$3:$C$302,2,0),"Unknown Code"))</f>
        <v/>
      </c>
      <c r="F99" s="14" t="str">
        <f>IF(D99="","",IFERROR(VLOOKUP(D99,'Item Master'!$B$3:$G$302,6,0),""))</f>
        <v/>
      </c>
      <c r="G99" s="19"/>
      <c r="H99" s="14"/>
      <c r="I99" s="14"/>
      <c r="J99" s="14"/>
    </row>
    <row r="100" ht="15.75" customHeight="1">
      <c r="A100" s="14" t="str">
        <f t="shared" si="1"/>
        <v/>
      </c>
      <c r="B100" s="24"/>
      <c r="C100" s="14"/>
      <c r="D100" s="14"/>
      <c r="E100" s="14" t="str">
        <f>IF(D100="","",IFERROR(VLOOKUP(D100,'Item Master'!$B$3:$C$302,2,0),"Unknown Code"))</f>
        <v/>
      </c>
      <c r="F100" s="14" t="str">
        <f>IF(D100="","",IFERROR(VLOOKUP(D100,'Item Master'!$B$3:$G$302,6,0),""))</f>
        <v/>
      </c>
      <c r="G100" s="19"/>
      <c r="H100" s="14"/>
      <c r="I100" s="14"/>
      <c r="J100" s="14"/>
    </row>
    <row r="101" ht="15.75" customHeight="1">
      <c r="A101" s="14" t="str">
        <f t="shared" si="1"/>
        <v/>
      </c>
      <c r="B101" s="24"/>
      <c r="C101" s="14"/>
      <c r="D101" s="14"/>
      <c r="E101" s="14" t="str">
        <f>IF(D101="","",IFERROR(VLOOKUP(D101,'Item Master'!$B$3:$C$302,2,0),"Unknown Code"))</f>
        <v/>
      </c>
      <c r="F101" s="14" t="str">
        <f>IF(D101="","",IFERROR(VLOOKUP(D101,'Item Master'!$B$3:$G$302,6,0),""))</f>
        <v/>
      </c>
      <c r="G101" s="19"/>
      <c r="H101" s="14"/>
      <c r="I101" s="14"/>
      <c r="J101" s="14"/>
    </row>
    <row r="102" ht="15.75" customHeight="1">
      <c r="A102" s="14" t="str">
        <f t="shared" si="1"/>
        <v/>
      </c>
      <c r="B102" s="24"/>
      <c r="C102" s="14"/>
      <c r="D102" s="14"/>
      <c r="E102" s="14" t="str">
        <f>IF(D102="","",IFERROR(VLOOKUP(D102,'Item Master'!$B$3:$C$302,2,0),"Unknown Code"))</f>
        <v/>
      </c>
      <c r="F102" s="14" t="str">
        <f>IF(D102="","",IFERROR(VLOOKUP(D102,'Item Master'!$B$3:$G$302,6,0),""))</f>
        <v/>
      </c>
      <c r="G102" s="19"/>
      <c r="H102" s="14"/>
      <c r="I102" s="14"/>
      <c r="J102" s="14"/>
    </row>
    <row r="103" ht="15.75" customHeight="1">
      <c r="A103" s="14" t="str">
        <f t="shared" si="1"/>
        <v/>
      </c>
      <c r="B103" s="24"/>
      <c r="C103" s="14"/>
      <c r="D103" s="14"/>
      <c r="E103" s="14" t="str">
        <f>IF(D103="","",IFERROR(VLOOKUP(D103,'Item Master'!$B$3:$C$302,2,0),"Unknown Code"))</f>
        <v/>
      </c>
      <c r="F103" s="14" t="str">
        <f>IF(D103="","",IFERROR(VLOOKUP(D103,'Item Master'!$B$3:$G$302,6,0),""))</f>
        <v/>
      </c>
      <c r="G103" s="19"/>
      <c r="H103" s="14"/>
      <c r="I103" s="14"/>
      <c r="J103" s="14"/>
    </row>
    <row r="104" ht="15.75" customHeight="1">
      <c r="A104" s="14" t="str">
        <f t="shared" si="1"/>
        <v/>
      </c>
      <c r="B104" s="24"/>
      <c r="C104" s="14"/>
      <c r="D104" s="14"/>
      <c r="E104" s="14" t="str">
        <f>IF(D104="","",IFERROR(VLOOKUP(D104,'Item Master'!$B$3:$C$302,2,0),"Unknown Code"))</f>
        <v/>
      </c>
      <c r="F104" s="14" t="str">
        <f>IF(D104="","",IFERROR(VLOOKUP(D104,'Item Master'!$B$3:$G$302,6,0),""))</f>
        <v/>
      </c>
      <c r="G104" s="19"/>
      <c r="H104" s="14"/>
      <c r="I104" s="14"/>
      <c r="J104" s="14"/>
    </row>
    <row r="105" ht="15.75" customHeight="1">
      <c r="A105" s="14" t="str">
        <f t="shared" si="1"/>
        <v/>
      </c>
      <c r="B105" s="24"/>
      <c r="C105" s="14"/>
      <c r="D105" s="14"/>
      <c r="E105" s="14" t="str">
        <f>IF(D105="","",IFERROR(VLOOKUP(D105,'Item Master'!$B$3:$C$302,2,0),"Unknown Code"))</f>
        <v/>
      </c>
      <c r="F105" s="14" t="str">
        <f>IF(D105="","",IFERROR(VLOOKUP(D105,'Item Master'!$B$3:$G$302,6,0),""))</f>
        <v/>
      </c>
      <c r="G105" s="19"/>
      <c r="H105" s="14"/>
      <c r="I105" s="14"/>
      <c r="J105" s="14"/>
    </row>
    <row r="106" ht="15.75" customHeight="1">
      <c r="A106" s="14" t="str">
        <f t="shared" si="1"/>
        <v/>
      </c>
      <c r="B106" s="24"/>
      <c r="C106" s="14"/>
      <c r="D106" s="14"/>
      <c r="E106" s="14" t="str">
        <f>IF(D106="","",IFERROR(VLOOKUP(D106,'Item Master'!$B$3:$C$302,2,0),"Unknown Code"))</f>
        <v/>
      </c>
      <c r="F106" s="14" t="str">
        <f>IF(D106="","",IFERROR(VLOOKUP(D106,'Item Master'!$B$3:$G$302,6,0),""))</f>
        <v/>
      </c>
      <c r="G106" s="19"/>
      <c r="H106" s="14"/>
      <c r="I106" s="14"/>
      <c r="J106" s="14"/>
    </row>
    <row r="107" ht="15.75" customHeight="1">
      <c r="A107" s="14" t="str">
        <f t="shared" si="1"/>
        <v/>
      </c>
      <c r="B107" s="24"/>
      <c r="C107" s="14"/>
      <c r="D107" s="14"/>
      <c r="E107" s="14" t="str">
        <f>IF(D107="","",IFERROR(VLOOKUP(D107,'Item Master'!$B$3:$C$302,2,0),"Unknown Code"))</f>
        <v/>
      </c>
      <c r="F107" s="14" t="str">
        <f>IF(D107="","",IFERROR(VLOOKUP(D107,'Item Master'!$B$3:$G$302,6,0),""))</f>
        <v/>
      </c>
      <c r="G107" s="19"/>
      <c r="H107" s="14"/>
      <c r="I107" s="14"/>
      <c r="J107" s="14"/>
    </row>
    <row r="108" ht="15.75" customHeight="1">
      <c r="A108" s="14" t="str">
        <f t="shared" si="1"/>
        <v/>
      </c>
      <c r="B108" s="24"/>
      <c r="C108" s="14"/>
      <c r="D108" s="14"/>
      <c r="E108" s="14" t="str">
        <f>IF(D108="","",IFERROR(VLOOKUP(D108,'Item Master'!$B$3:$C$302,2,0),"Unknown Code"))</f>
        <v/>
      </c>
      <c r="F108" s="14" t="str">
        <f>IF(D108="","",IFERROR(VLOOKUP(D108,'Item Master'!$B$3:$G$302,6,0),""))</f>
        <v/>
      </c>
      <c r="G108" s="19"/>
      <c r="H108" s="14"/>
      <c r="I108" s="14"/>
      <c r="J108" s="14"/>
    </row>
    <row r="109" ht="15.75" customHeight="1">
      <c r="A109" s="14" t="str">
        <f t="shared" si="1"/>
        <v/>
      </c>
      <c r="B109" s="24"/>
      <c r="C109" s="14"/>
      <c r="D109" s="14"/>
      <c r="E109" s="14" t="str">
        <f>IF(D109="","",IFERROR(VLOOKUP(D109,'Item Master'!$B$3:$C$302,2,0),"Unknown Code"))</f>
        <v/>
      </c>
      <c r="F109" s="14" t="str">
        <f>IF(D109="","",IFERROR(VLOOKUP(D109,'Item Master'!$B$3:$G$302,6,0),""))</f>
        <v/>
      </c>
      <c r="G109" s="19"/>
      <c r="H109" s="14"/>
      <c r="I109" s="14"/>
      <c r="J109" s="14"/>
    </row>
    <row r="110" ht="15.75" customHeight="1">
      <c r="A110" s="14" t="str">
        <f t="shared" si="1"/>
        <v/>
      </c>
      <c r="B110" s="24"/>
      <c r="C110" s="14"/>
      <c r="D110" s="14"/>
      <c r="E110" s="14" t="str">
        <f>IF(D110="","",IFERROR(VLOOKUP(D110,'Item Master'!$B$3:$C$302,2,0),"Unknown Code"))</f>
        <v/>
      </c>
      <c r="F110" s="14" t="str">
        <f>IF(D110="","",IFERROR(VLOOKUP(D110,'Item Master'!$B$3:$G$302,6,0),""))</f>
        <v/>
      </c>
      <c r="G110" s="19"/>
      <c r="H110" s="14"/>
      <c r="I110" s="14"/>
      <c r="J110" s="14"/>
    </row>
    <row r="111" ht="15.75" customHeight="1">
      <c r="A111" s="14" t="str">
        <f t="shared" si="1"/>
        <v/>
      </c>
      <c r="B111" s="24"/>
      <c r="C111" s="14"/>
      <c r="D111" s="14"/>
      <c r="E111" s="14" t="str">
        <f>IF(D111="","",IFERROR(VLOOKUP(D111,'Item Master'!$B$3:$C$302,2,0),"Unknown Code"))</f>
        <v/>
      </c>
      <c r="F111" s="14" t="str">
        <f>IF(D111="","",IFERROR(VLOOKUP(D111,'Item Master'!$B$3:$G$302,6,0),""))</f>
        <v/>
      </c>
      <c r="G111" s="19"/>
      <c r="H111" s="14"/>
      <c r="I111" s="14"/>
      <c r="J111" s="14"/>
    </row>
    <row r="112" ht="15.75" customHeight="1">
      <c r="A112" s="14" t="str">
        <f t="shared" si="1"/>
        <v/>
      </c>
      <c r="B112" s="24"/>
      <c r="C112" s="14"/>
      <c r="D112" s="14"/>
      <c r="E112" s="14" t="str">
        <f>IF(D112="","",IFERROR(VLOOKUP(D112,'Item Master'!$B$3:$C$302,2,0),"Unknown Code"))</f>
        <v/>
      </c>
      <c r="F112" s="14" t="str">
        <f>IF(D112="","",IFERROR(VLOOKUP(D112,'Item Master'!$B$3:$G$302,6,0),""))</f>
        <v/>
      </c>
      <c r="G112" s="19"/>
      <c r="H112" s="14"/>
      <c r="I112" s="14"/>
      <c r="J112" s="14"/>
    </row>
    <row r="113" ht="15.75" customHeight="1">
      <c r="A113" s="14" t="str">
        <f t="shared" si="1"/>
        <v/>
      </c>
      <c r="B113" s="24"/>
      <c r="C113" s="14"/>
      <c r="D113" s="14"/>
      <c r="E113" s="14" t="str">
        <f>IF(D113="","",IFERROR(VLOOKUP(D113,'Item Master'!$B$3:$C$302,2,0),"Unknown Code"))</f>
        <v/>
      </c>
      <c r="F113" s="14" t="str">
        <f>IF(D113="","",IFERROR(VLOOKUP(D113,'Item Master'!$B$3:$G$302,6,0),""))</f>
        <v/>
      </c>
      <c r="G113" s="19"/>
      <c r="H113" s="14"/>
      <c r="I113" s="14"/>
      <c r="J113" s="14"/>
    </row>
    <row r="114" ht="15.75" customHeight="1">
      <c r="A114" s="14" t="str">
        <f t="shared" si="1"/>
        <v/>
      </c>
      <c r="B114" s="24"/>
      <c r="C114" s="14"/>
      <c r="D114" s="14"/>
      <c r="E114" s="14" t="str">
        <f>IF(D114="","",IFERROR(VLOOKUP(D114,'Item Master'!$B$3:$C$302,2,0),"Unknown Code"))</f>
        <v/>
      </c>
      <c r="F114" s="14" t="str">
        <f>IF(D114="","",IFERROR(VLOOKUP(D114,'Item Master'!$B$3:$G$302,6,0),""))</f>
        <v/>
      </c>
      <c r="G114" s="19"/>
      <c r="H114" s="14"/>
      <c r="I114" s="14"/>
      <c r="J114" s="14"/>
    </row>
    <row r="115" ht="15.75" customHeight="1">
      <c r="A115" s="14" t="str">
        <f t="shared" si="1"/>
        <v/>
      </c>
      <c r="B115" s="24"/>
      <c r="C115" s="14"/>
      <c r="D115" s="14"/>
      <c r="E115" s="14" t="str">
        <f>IF(D115="","",IFERROR(VLOOKUP(D115,'Item Master'!$B$3:$C$302,2,0),"Unknown Code"))</f>
        <v/>
      </c>
      <c r="F115" s="14" t="str">
        <f>IF(D115="","",IFERROR(VLOOKUP(D115,'Item Master'!$B$3:$G$302,6,0),""))</f>
        <v/>
      </c>
      <c r="G115" s="19"/>
      <c r="H115" s="14"/>
      <c r="I115" s="14"/>
      <c r="J115" s="14"/>
    </row>
    <row r="116" ht="15.75" customHeight="1">
      <c r="A116" s="14" t="str">
        <f t="shared" si="1"/>
        <v/>
      </c>
      <c r="B116" s="24"/>
      <c r="C116" s="14"/>
      <c r="D116" s="14"/>
      <c r="E116" s="14" t="str">
        <f>IF(D116="","",IFERROR(VLOOKUP(D116,'Item Master'!$B$3:$C$302,2,0),"Unknown Code"))</f>
        <v/>
      </c>
      <c r="F116" s="14" t="str">
        <f>IF(D116="","",IFERROR(VLOOKUP(D116,'Item Master'!$B$3:$G$302,6,0),""))</f>
        <v/>
      </c>
      <c r="G116" s="19"/>
      <c r="H116" s="14"/>
      <c r="I116" s="14"/>
      <c r="J116" s="14"/>
    </row>
    <row r="117" ht="15.75" customHeight="1">
      <c r="A117" s="14" t="str">
        <f t="shared" si="1"/>
        <v/>
      </c>
      <c r="B117" s="24"/>
      <c r="C117" s="14"/>
      <c r="D117" s="14"/>
      <c r="E117" s="14" t="str">
        <f>IF(D117="","",IFERROR(VLOOKUP(D117,'Item Master'!$B$3:$C$302,2,0),"Unknown Code"))</f>
        <v/>
      </c>
      <c r="F117" s="14" t="str">
        <f>IF(D117="","",IFERROR(VLOOKUP(D117,'Item Master'!$B$3:$G$302,6,0),""))</f>
        <v/>
      </c>
      <c r="G117" s="19"/>
      <c r="H117" s="14"/>
      <c r="I117" s="14"/>
      <c r="J117" s="14"/>
    </row>
    <row r="118" ht="15.75" customHeight="1">
      <c r="A118" s="14" t="str">
        <f t="shared" si="1"/>
        <v/>
      </c>
      <c r="B118" s="24"/>
      <c r="C118" s="14"/>
      <c r="D118" s="14"/>
      <c r="E118" s="14" t="str">
        <f>IF(D118="","",IFERROR(VLOOKUP(D118,'Item Master'!$B$3:$C$302,2,0),"Unknown Code"))</f>
        <v/>
      </c>
      <c r="F118" s="14" t="str">
        <f>IF(D118="","",IFERROR(VLOOKUP(D118,'Item Master'!$B$3:$G$302,6,0),""))</f>
        <v/>
      </c>
      <c r="G118" s="19"/>
      <c r="H118" s="14"/>
      <c r="I118" s="14"/>
      <c r="J118" s="14"/>
    </row>
    <row r="119" ht="15.75" customHeight="1">
      <c r="A119" s="14" t="str">
        <f t="shared" si="1"/>
        <v/>
      </c>
      <c r="B119" s="24"/>
      <c r="C119" s="14"/>
      <c r="D119" s="14"/>
      <c r="E119" s="14" t="str">
        <f>IF(D119="","",IFERROR(VLOOKUP(D119,'Item Master'!$B$3:$C$302,2,0),"Unknown Code"))</f>
        <v/>
      </c>
      <c r="F119" s="14" t="str">
        <f>IF(D119="","",IFERROR(VLOOKUP(D119,'Item Master'!$B$3:$G$302,6,0),""))</f>
        <v/>
      </c>
      <c r="G119" s="19"/>
      <c r="H119" s="14"/>
      <c r="I119" s="14"/>
      <c r="J119" s="14"/>
    </row>
    <row r="120" ht="15.75" customHeight="1">
      <c r="A120" s="14" t="str">
        <f t="shared" si="1"/>
        <v/>
      </c>
      <c r="B120" s="24"/>
      <c r="C120" s="14"/>
      <c r="D120" s="14"/>
      <c r="E120" s="14" t="str">
        <f>IF(D120="","",IFERROR(VLOOKUP(D120,'Item Master'!$B$3:$C$302,2,0),"Unknown Code"))</f>
        <v/>
      </c>
      <c r="F120" s="14" t="str">
        <f>IF(D120="","",IFERROR(VLOOKUP(D120,'Item Master'!$B$3:$G$302,6,0),""))</f>
        <v/>
      </c>
      <c r="G120" s="19"/>
      <c r="H120" s="14"/>
      <c r="I120" s="14"/>
      <c r="J120" s="14"/>
    </row>
    <row r="121" ht="15.75" customHeight="1">
      <c r="A121" s="14" t="str">
        <f t="shared" si="1"/>
        <v/>
      </c>
      <c r="B121" s="24"/>
      <c r="C121" s="14"/>
      <c r="D121" s="14"/>
      <c r="E121" s="14" t="str">
        <f>IF(D121="","",IFERROR(VLOOKUP(D121,'Item Master'!$B$3:$C$302,2,0),"Unknown Code"))</f>
        <v/>
      </c>
      <c r="F121" s="14" t="str">
        <f>IF(D121="","",IFERROR(VLOOKUP(D121,'Item Master'!$B$3:$G$302,6,0),""))</f>
        <v/>
      </c>
      <c r="G121" s="19"/>
      <c r="H121" s="14"/>
      <c r="I121" s="14"/>
      <c r="J121" s="14"/>
    </row>
    <row r="122" ht="15.75" customHeight="1">
      <c r="A122" s="14" t="str">
        <f t="shared" si="1"/>
        <v/>
      </c>
      <c r="B122" s="24"/>
      <c r="C122" s="14"/>
      <c r="D122" s="14"/>
      <c r="E122" s="14" t="str">
        <f>IF(D122="","",IFERROR(VLOOKUP(D122,'Item Master'!$B$3:$C$302,2,0),"Unknown Code"))</f>
        <v/>
      </c>
      <c r="F122" s="14" t="str">
        <f>IF(D122="","",IFERROR(VLOOKUP(D122,'Item Master'!$B$3:$G$302,6,0),""))</f>
        <v/>
      </c>
      <c r="G122" s="19"/>
      <c r="H122" s="14"/>
      <c r="I122" s="14"/>
      <c r="J122" s="14"/>
    </row>
    <row r="123" ht="15.75" customHeight="1">
      <c r="A123" s="14" t="str">
        <f t="shared" si="1"/>
        <v/>
      </c>
      <c r="B123" s="24"/>
      <c r="C123" s="14"/>
      <c r="D123" s="14"/>
      <c r="E123" s="14" t="str">
        <f>IF(D123="","",IFERROR(VLOOKUP(D123,'Item Master'!$B$3:$C$302,2,0),"Unknown Code"))</f>
        <v/>
      </c>
      <c r="F123" s="14" t="str">
        <f>IF(D123="","",IFERROR(VLOOKUP(D123,'Item Master'!$B$3:$G$302,6,0),""))</f>
        <v/>
      </c>
      <c r="G123" s="19"/>
      <c r="H123" s="14"/>
      <c r="I123" s="14"/>
      <c r="J123" s="14"/>
    </row>
    <row r="124" ht="15.75" customHeight="1">
      <c r="A124" s="14" t="str">
        <f t="shared" si="1"/>
        <v/>
      </c>
      <c r="B124" s="24"/>
      <c r="C124" s="14"/>
      <c r="D124" s="14"/>
      <c r="E124" s="14" t="str">
        <f>IF(D124="","",IFERROR(VLOOKUP(D124,'Item Master'!$B$3:$C$302,2,0),"Unknown Code"))</f>
        <v/>
      </c>
      <c r="F124" s="14" t="str">
        <f>IF(D124="","",IFERROR(VLOOKUP(D124,'Item Master'!$B$3:$G$302,6,0),""))</f>
        <v/>
      </c>
      <c r="G124" s="19"/>
      <c r="H124" s="14"/>
      <c r="I124" s="14"/>
      <c r="J124" s="14"/>
    </row>
    <row r="125" ht="15.75" customHeight="1">
      <c r="A125" s="14" t="str">
        <f t="shared" si="1"/>
        <v/>
      </c>
      <c r="B125" s="24"/>
      <c r="C125" s="14"/>
      <c r="D125" s="14"/>
      <c r="E125" s="14" t="str">
        <f>IF(D125="","",IFERROR(VLOOKUP(D125,'Item Master'!$B$3:$C$302,2,0),"Unknown Code"))</f>
        <v/>
      </c>
      <c r="F125" s="14" t="str">
        <f>IF(D125="","",IFERROR(VLOOKUP(D125,'Item Master'!$B$3:$G$302,6,0),""))</f>
        <v/>
      </c>
      <c r="G125" s="19"/>
      <c r="H125" s="14"/>
      <c r="I125" s="14"/>
      <c r="J125" s="14"/>
    </row>
    <row r="126" ht="15.75" customHeight="1">
      <c r="A126" s="14" t="str">
        <f t="shared" si="1"/>
        <v/>
      </c>
      <c r="B126" s="24"/>
      <c r="C126" s="14"/>
      <c r="D126" s="14"/>
      <c r="E126" s="14" t="str">
        <f>IF(D126="","",IFERROR(VLOOKUP(D126,'Item Master'!$B$3:$C$302,2,0),"Unknown Code"))</f>
        <v/>
      </c>
      <c r="F126" s="14" t="str">
        <f>IF(D126="","",IFERROR(VLOOKUP(D126,'Item Master'!$B$3:$G$302,6,0),""))</f>
        <v/>
      </c>
      <c r="G126" s="19"/>
      <c r="H126" s="14"/>
      <c r="I126" s="14"/>
      <c r="J126" s="14"/>
    </row>
    <row r="127" ht="15.75" customHeight="1">
      <c r="A127" s="14" t="str">
        <f t="shared" si="1"/>
        <v/>
      </c>
      <c r="B127" s="24"/>
      <c r="C127" s="14"/>
      <c r="D127" s="14"/>
      <c r="E127" s="14" t="str">
        <f>IF(D127="","",IFERROR(VLOOKUP(D127,'Item Master'!$B$3:$C$302,2,0),"Unknown Code"))</f>
        <v/>
      </c>
      <c r="F127" s="14" t="str">
        <f>IF(D127="","",IFERROR(VLOOKUP(D127,'Item Master'!$B$3:$G$302,6,0),""))</f>
        <v/>
      </c>
      <c r="G127" s="19"/>
      <c r="H127" s="14"/>
      <c r="I127" s="14"/>
      <c r="J127" s="14"/>
    </row>
    <row r="128" ht="15.75" customHeight="1">
      <c r="A128" s="14" t="str">
        <f t="shared" si="1"/>
        <v/>
      </c>
      <c r="B128" s="24"/>
      <c r="C128" s="14"/>
      <c r="D128" s="14"/>
      <c r="E128" s="14" t="str">
        <f>IF(D128="","",IFERROR(VLOOKUP(D128,'Item Master'!$B$3:$C$302,2,0),"Unknown Code"))</f>
        <v/>
      </c>
      <c r="F128" s="14" t="str">
        <f>IF(D128="","",IFERROR(VLOOKUP(D128,'Item Master'!$B$3:$G$302,6,0),""))</f>
        <v/>
      </c>
      <c r="G128" s="19"/>
      <c r="H128" s="14"/>
      <c r="I128" s="14"/>
      <c r="J128" s="14"/>
    </row>
    <row r="129" ht="15.75" customHeight="1">
      <c r="A129" s="14" t="str">
        <f t="shared" si="1"/>
        <v/>
      </c>
      <c r="B129" s="24"/>
      <c r="C129" s="14"/>
      <c r="D129" s="14"/>
      <c r="E129" s="14" t="str">
        <f>IF(D129="","",IFERROR(VLOOKUP(D129,'Item Master'!$B$3:$C$302,2,0),"Unknown Code"))</f>
        <v/>
      </c>
      <c r="F129" s="14" t="str">
        <f>IF(D129="","",IFERROR(VLOOKUP(D129,'Item Master'!$B$3:$G$302,6,0),""))</f>
        <v/>
      </c>
      <c r="G129" s="19"/>
      <c r="H129" s="14"/>
      <c r="I129" s="14"/>
      <c r="J129" s="14"/>
    </row>
    <row r="130" ht="15.75" customHeight="1">
      <c r="A130" s="14" t="str">
        <f t="shared" si="1"/>
        <v/>
      </c>
      <c r="B130" s="24"/>
      <c r="C130" s="14"/>
      <c r="D130" s="14"/>
      <c r="E130" s="14" t="str">
        <f>IF(D130="","",IFERROR(VLOOKUP(D130,'Item Master'!$B$3:$C$302,2,0),"Unknown Code"))</f>
        <v/>
      </c>
      <c r="F130" s="14" t="str">
        <f>IF(D130="","",IFERROR(VLOOKUP(D130,'Item Master'!$B$3:$G$302,6,0),""))</f>
        <v/>
      </c>
      <c r="G130" s="19"/>
      <c r="H130" s="14"/>
      <c r="I130" s="14"/>
      <c r="J130" s="14"/>
    </row>
    <row r="131" ht="15.75" customHeight="1">
      <c r="A131" s="14" t="str">
        <f t="shared" si="1"/>
        <v/>
      </c>
      <c r="B131" s="24"/>
      <c r="C131" s="14"/>
      <c r="D131" s="14"/>
      <c r="E131" s="14" t="str">
        <f>IF(D131="","",IFERROR(VLOOKUP(D131,'Item Master'!$B$3:$C$302,2,0),"Unknown Code"))</f>
        <v/>
      </c>
      <c r="F131" s="14" t="str">
        <f>IF(D131="","",IFERROR(VLOOKUP(D131,'Item Master'!$B$3:$G$302,6,0),""))</f>
        <v/>
      </c>
      <c r="G131" s="19"/>
      <c r="H131" s="14"/>
      <c r="I131" s="14"/>
      <c r="J131" s="14"/>
    </row>
    <row r="132" ht="15.75" customHeight="1">
      <c r="A132" s="14" t="str">
        <f t="shared" si="1"/>
        <v/>
      </c>
      <c r="B132" s="24"/>
      <c r="C132" s="14"/>
      <c r="D132" s="14"/>
      <c r="E132" s="14" t="str">
        <f>IF(D132="","",IFERROR(VLOOKUP(D132,'Item Master'!$B$3:$C$302,2,0),"Unknown Code"))</f>
        <v/>
      </c>
      <c r="F132" s="14" t="str">
        <f>IF(D132="","",IFERROR(VLOOKUP(D132,'Item Master'!$B$3:$G$302,6,0),""))</f>
        <v/>
      </c>
      <c r="G132" s="19"/>
      <c r="H132" s="14"/>
      <c r="I132" s="14"/>
      <c r="J132" s="14"/>
    </row>
    <row r="133" ht="15.75" customHeight="1">
      <c r="A133" s="14" t="str">
        <f t="shared" si="1"/>
        <v/>
      </c>
      <c r="B133" s="24"/>
      <c r="C133" s="14"/>
      <c r="D133" s="14"/>
      <c r="E133" s="14" t="str">
        <f>IF(D133="","",IFERROR(VLOOKUP(D133,'Item Master'!$B$3:$C$302,2,0),"Unknown Code"))</f>
        <v/>
      </c>
      <c r="F133" s="14" t="str">
        <f>IF(D133="","",IFERROR(VLOOKUP(D133,'Item Master'!$B$3:$G$302,6,0),""))</f>
        <v/>
      </c>
      <c r="G133" s="19"/>
      <c r="H133" s="14"/>
      <c r="I133" s="14"/>
      <c r="J133" s="14"/>
    </row>
    <row r="134" ht="15.75" customHeight="1">
      <c r="A134" s="14" t="str">
        <f t="shared" si="1"/>
        <v/>
      </c>
      <c r="B134" s="24"/>
      <c r="C134" s="14"/>
      <c r="D134" s="14"/>
      <c r="E134" s="14" t="str">
        <f>IF(D134="","",IFERROR(VLOOKUP(D134,'Item Master'!$B$3:$C$302,2,0),"Unknown Code"))</f>
        <v/>
      </c>
      <c r="F134" s="14" t="str">
        <f>IF(D134="","",IFERROR(VLOOKUP(D134,'Item Master'!$B$3:$G$302,6,0),""))</f>
        <v/>
      </c>
      <c r="G134" s="19"/>
      <c r="H134" s="14"/>
      <c r="I134" s="14"/>
      <c r="J134" s="14"/>
    </row>
    <row r="135" ht="15.75" customHeight="1">
      <c r="A135" s="14" t="str">
        <f t="shared" si="1"/>
        <v/>
      </c>
      <c r="B135" s="24"/>
      <c r="C135" s="14"/>
      <c r="D135" s="14"/>
      <c r="E135" s="14" t="str">
        <f>IF(D135="","",IFERROR(VLOOKUP(D135,'Item Master'!$B$3:$C$302,2,0),"Unknown Code"))</f>
        <v/>
      </c>
      <c r="F135" s="14" t="str">
        <f>IF(D135="","",IFERROR(VLOOKUP(D135,'Item Master'!$B$3:$G$302,6,0),""))</f>
        <v/>
      </c>
      <c r="G135" s="19"/>
      <c r="H135" s="14"/>
      <c r="I135" s="14"/>
      <c r="J135" s="14"/>
    </row>
    <row r="136" ht="15.75" customHeight="1">
      <c r="A136" s="14" t="str">
        <f t="shared" si="1"/>
        <v/>
      </c>
      <c r="B136" s="24"/>
      <c r="C136" s="14"/>
      <c r="D136" s="14"/>
      <c r="E136" s="14" t="str">
        <f>IF(D136="","",IFERROR(VLOOKUP(D136,'Item Master'!$B$3:$C$302,2,0),"Unknown Code"))</f>
        <v/>
      </c>
      <c r="F136" s="14" t="str">
        <f>IF(D136="","",IFERROR(VLOOKUP(D136,'Item Master'!$B$3:$G$302,6,0),""))</f>
        <v/>
      </c>
      <c r="G136" s="19"/>
      <c r="H136" s="14"/>
      <c r="I136" s="14"/>
      <c r="J136" s="14"/>
    </row>
    <row r="137" ht="15.75" customHeight="1">
      <c r="A137" s="14" t="str">
        <f t="shared" si="1"/>
        <v/>
      </c>
      <c r="B137" s="24"/>
      <c r="C137" s="14"/>
      <c r="D137" s="14"/>
      <c r="E137" s="14" t="str">
        <f>IF(D137="","",IFERROR(VLOOKUP(D137,'Item Master'!$B$3:$C$302,2,0),"Unknown Code"))</f>
        <v/>
      </c>
      <c r="F137" s="14" t="str">
        <f>IF(D137="","",IFERROR(VLOOKUP(D137,'Item Master'!$B$3:$G$302,6,0),""))</f>
        <v/>
      </c>
      <c r="G137" s="19"/>
      <c r="H137" s="14"/>
      <c r="I137" s="14"/>
      <c r="J137" s="14"/>
    </row>
    <row r="138" ht="15.75" customHeight="1">
      <c r="A138" s="14" t="str">
        <f t="shared" si="1"/>
        <v/>
      </c>
      <c r="B138" s="24"/>
      <c r="C138" s="14"/>
      <c r="D138" s="14"/>
      <c r="E138" s="14" t="str">
        <f>IF(D138="","",IFERROR(VLOOKUP(D138,'Item Master'!$B$3:$C$302,2,0),"Unknown Code"))</f>
        <v/>
      </c>
      <c r="F138" s="14" t="str">
        <f>IF(D138="","",IFERROR(VLOOKUP(D138,'Item Master'!$B$3:$G$302,6,0),""))</f>
        <v/>
      </c>
      <c r="G138" s="19"/>
      <c r="H138" s="14"/>
      <c r="I138" s="14"/>
      <c r="J138" s="14"/>
    </row>
    <row r="139" ht="15.75" customHeight="1">
      <c r="A139" s="14" t="str">
        <f t="shared" si="1"/>
        <v/>
      </c>
      <c r="B139" s="24"/>
      <c r="C139" s="14"/>
      <c r="D139" s="14"/>
      <c r="E139" s="14" t="str">
        <f>IF(D139="","",IFERROR(VLOOKUP(D139,'Item Master'!$B$3:$C$302,2,0),"Unknown Code"))</f>
        <v/>
      </c>
      <c r="F139" s="14" t="str">
        <f>IF(D139="","",IFERROR(VLOOKUP(D139,'Item Master'!$B$3:$G$302,6,0),""))</f>
        <v/>
      </c>
      <c r="G139" s="19"/>
      <c r="H139" s="14"/>
      <c r="I139" s="14"/>
      <c r="J139" s="14"/>
    </row>
    <row r="140" ht="15.75" customHeight="1">
      <c r="A140" s="14" t="str">
        <f t="shared" si="1"/>
        <v/>
      </c>
      <c r="B140" s="24"/>
      <c r="C140" s="14"/>
      <c r="D140" s="14"/>
      <c r="E140" s="14" t="str">
        <f>IF(D140="","",IFERROR(VLOOKUP(D140,'Item Master'!$B$3:$C$302,2,0),"Unknown Code"))</f>
        <v/>
      </c>
      <c r="F140" s="14" t="str">
        <f>IF(D140="","",IFERROR(VLOOKUP(D140,'Item Master'!$B$3:$G$302,6,0),""))</f>
        <v/>
      </c>
      <c r="G140" s="19"/>
      <c r="H140" s="14"/>
      <c r="I140" s="14"/>
      <c r="J140" s="14"/>
    </row>
    <row r="141" ht="15.75" customHeight="1">
      <c r="A141" s="14" t="str">
        <f t="shared" si="1"/>
        <v/>
      </c>
      <c r="B141" s="24"/>
      <c r="C141" s="14"/>
      <c r="D141" s="14"/>
      <c r="E141" s="14" t="str">
        <f>IF(D141="","",IFERROR(VLOOKUP(D141,'Item Master'!$B$3:$C$302,2,0),"Unknown Code"))</f>
        <v/>
      </c>
      <c r="F141" s="14" t="str">
        <f>IF(D141="","",IFERROR(VLOOKUP(D141,'Item Master'!$B$3:$G$302,6,0),""))</f>
        <v/>
      </c>
      <c r="G141" s="19"/>
      <c r="H141" s="14"/>
      <c r="I141" s="14"/>
      <c r="J141" s="14"/>
    </row>
    <row r="142" ht="15.75" customHeight="1">
      <c r="A142" s="14" t="str">
        <f t="shared" si="1"/>
        <v/>
      </c>
      <c r="B142" s="24"/>
      <c r="C142" s="14"/>
      <c r="D142" s="14"/>
      <c r="E142" s="14" t="str">
        <f>IF(D142="","",IFERROR(VLOOKUP(D142,'Item Master'!$B$3:$C$302,2,0),"Unknown Code"))</f>
        <v/>
      </c>
      <c r="F142" s="14" t="str">
        <f>IF(D142="","",IFERROR(VLOOKUP(D142,'Item Master'!$B$3:$G$302,6,0),""))</f>
        <v/>
      </c>
      <c r="G142" s="19"/>
      <c r="H142" s="14"/>
      <c r="I142" s="14"/>
      <c r="J142" s="14"/>
    </row>
    <row r="143" ht="15.75" customHeight="1">
      <c r="A143" s="14" t="str">
        <f t="shared" si="1"/>
        <v/>
      </c>
      <c r="B143" s="24"/>
      <c r="C143" s="14"/>
      <c r="D143" s="14"/>
      <c r="E143" s="14" t="str">
        <f>IF(D143="","",IFERROR(VLOOKUP(D143,'Item Master'!$B$3:$C$302,2,0),"Unknown Code"))</f>
        <v/>
      </c>
      <c r="F143" s="14" t="str">
        <f>IF(D143="","",IFERROR(VLOOKUP(D143,'Item Master'!$B$3:$G$302,6,0),""))</f>
        <v/>
      </c>
      <c r="G143" s="19"/>
      <c r="H143" s="14"/>
      <c r="I143" s="14"/>
      <c r="J143" s="14"/>
    </row>
    <row r="144" ht="15.75" customHeight="1">
      <c r="A144" s="14" t="str">
        <f t="shared" si="1"/>
        <v/>
      </c>
      <c r="B144" s="24"/>
      <c r="C144" s="14"/>
      <c r="D144" s="14"/>
      <c r="E144" s="14" t="str">
        <f>IF(D144="","",IFERROR(VLOOKUP(D144,'Item Master'!$B$3:$C$302,2,0),"Unknown Code"))</f>
        <v/>
      </c>
      <c r="F144" s="14" t="str">
        <f>IF(D144="","",IFERROR(VLOOKUP(D144,'Item Master'!$B$3:$G$302,6,0),""))</f>
        <v/>
      </c>
      <c r="G144" s="19"/>
      <c r="H144" s="14"/>
      <c r="I144" s="14"/>
      <c r="J144" s="14"/>
    </row>
    <row r="145" ht="15.75" customHeight="1">
      <c r="A145" s="14" t="str">
        <f t="shared" si="1"/>
        <v/>
      </c>
      <c r="B145" s="24"/>
      <c r="C145" s="14"/>
      <c r="D145" s="14"/>
      <c r="E145" s="14" t="str">
        <f>IF(D145="","",IFERROR(VLOOKUP(D145,'Item Master'!$B$3:$C$302,2,0),"Unknown Code"))</f>
        <v/>
      </c>
      <c r="F145" s="14" t="str">
        <f>IF(D145="","",IFERROR(VLOOKUP(D145,'Item Master'!$B$3:$G$302,6,0),""))</f>
        <v/>
      </c>
      <c r="G145" s="19"/>
      <c r="H145" s="14"/>
      <c r="I145" s="14"/>
      <c r="J145" s="14"/>
    </row>
    <row r="146" ht="15.75" customHeight="1">
      <c r="A146" s="14" t="str">
        <f t="shared" si="1"/>
        <v/>
      </c>
      <c r="B146" s="24"/>
      <c r="C146" s="14"/>
      <c r="D146" s="14"/>
      <c r="E146" s="14" t="str">
        <f>IF(D146="","",IFERROR(VLOOKUP(D146,'Item Master'!$B$3:$C$302,2,0),"Unknown Code"))</f>
        <v/>
      </c>
      <c r="F146" s="14" t="str">
        <f>IF(D146="","",IFERROR(VLOOKUP(D146,'Item Master'!$B$3:$G$302,6,0),""))</f>
        <v/>
      </c>
      <c r="G146" s="19"/>
      <c r="H146" s="14"/>
      <c r="I146" s="14"/>
      <c r="J146" s="14"/>
    </row>
    <row r="147" ht="15.75" customHeight="1">
      <c r="A147" s="14" t="str">
        <f t="shared" si="1"/>
        <v/>
      </c>
      <c r="B147" s="24"/>
      <c r="C147" s="14"/>
      <c r="D147" s="14"/>
      <c r="E147" s="14" t="str">
        <f>IF(D147="","",IFERROR(VLOOKUP(D147,'Item Master'!$B$3:$C$302,2,0),"Unknown Code"))</f>
        <v/>
      </c>
      <c r="F147" s="14" t="str">
        <f>IF(D147="","",IFERROR(VLOOKUP(D147,'Item Master'!$B$3:$G$302,6,0),""))</f>
        <v/>
      </c>
      <c r="G147" s="19"/>
      <c r="H147" s="14"/>
      <c r="I147" s="14"/>
      <c r="J147" s="14"/>
    </row>
    <row r="148" ht="15.75" customHeight="1">
      <c r="A148" s="14" t="str">
        <f t="shared" si="1"/>
        <v/>
      </c>
      <c r="B148" s="24"/>
      <c r="C148" s="14"/>
      <c r="D148" s="14"/>
      <c r="E148" s="14" t="str">
        <f>IF(D148="","",IFERROR(VLOOKUP(D148,'Item Master'!$B$3:$C$302,2,0),"Unknown Code"))</f>
        <v/>
      </c>
      <c r="F148" s="14" t="str">
        <f>IF(D148="","",IFERROR(VLOOKUP(D148,'Item Master'!$B$3:$G$302,6,0),""))</f>
        <v/>
      </c>
      <c r="G148" s="19"/>
      <c r="H148" s="14"/>
      <c r="I148" s="14"/>
      <c r="J148" s="14"/>
    </row>
    <row r="149" ht="15.75" customHeight="1">
      <c r="A149" s="14" t="str">
        <f t="shared" si="1"/>
        <v/>
      </c>
      <c r="B149" s="24"/>
      <c r="C149" s="14"/>
      <c r="D149" s="14"/>
      <c r="E149" s="14" t="str">
        <f>IF(D149="","",IFERROR(VLOOKUP(D149,'Item Master'!$B$3:$C$302,2,0),"Unknown Code"))</f>
        <v/>
      </c>
      <c r="F149" s="14" t="str">
        <f>IF(D149="","",IFERROR(VLOOKUP(D149,'Item Master'!$B$3:$G$302,6,0),""))</f>
        <v/>
      </c>
      <c r="G149" s="19"/>
      <c r="H149" s="14"/>
      <c r="I149" s="14"/>
      <c r="J149" s="14"/>
    </row>
    <row r="150" ht="15.75" customHeight="1">
      <c r="A150" s="14" t="str">
        <f t="shared" si="1"/>
        <v/>
      </c>
      <c r="B150" s="24"/>
      <c r="C150" s="14"/>
      <c r="D150" s="14"/>
      <c r="E150" s="14" t="str">
        <f>IF(D150="","",IFERROR(VLOOKUP(D150,'Item Master'!$B$3:$C$302,2,0),"Unknown Code"))</f>
        <v/>
      </c>
      <c r="F150" s="14" t="str">
        <f>IF(D150="","",IFERROR(VLOOKUP(D150,'Item Master'!$B$3:$G$302,6,0),""))</f>
        <v/>
      </c>
      <c r="G150" s="19"/>
      <c r="H150" s="14"/>
      <c r="I150" s="14"/>
      <c r="J150" s="14"/>
    </row>
    <row r="151" ht="15.75" customHeight="1">
      <c r="A151" s="14" t="str">
        <f t="shared" si="1"/>
        <v/>
      </c>
      <c r="B151" s="24"/>
      <c r="C151" s="14"/>
      <c r="D151" s="14"/>
      <c r="E151" s="14" t="str">
        <f>IF(D151="","",IFERROR(VLOOKUP(D151,'Item Master'!$B$3:$C$302,2,0),"Unknown Code"))</f>
        <v/>
      </c>
      <c r="F151" s="14" t="str">
        <f>IF(D151="","",IFERROR(VLOOKUP(D151,'Item Master'!$B$3:$G$302,6,0),""))</f>
        <v/>
      </c>
      <c r="G151" s="19"/>
      <c r="H151" s="14"/>
      <c r="I151" s="14"/>
      <c r="J151" s="14"/>
    </row>
    <row r="152" ht="15.75" customHeight="1">
      <c r="A152" s="14" t="str">
        <f t="shared" si="1"/>
        <v/>
      </c>
      <c r="B152" s="24"/>
      <c r="C152" s="14"/>
      <c r="D152" s="14"/>
      <c r="E152" s="14" t="str">
        <f>IF(D152="","",IFERROR(VLOOKUP(D152,'Item Master'!$B$3:$C$302,2,0),"Unknown Code"))</f>
        <v/>
      </c>
      <c r="F152" s="14" t="str">
        <f>IF(D152="","",IFERROR(VLOOKUP(D152,'Item Master'!$B$3:$G$302,6,0),""))</f>
        <v/>
      </c>
      <c r="G152" s="19"/>
      <c r="H152" s="14"/>
      <c r="I152" s="14"/>
      <c r="J152" s="14"/>
    </row>
    <row r="153" ht="15.75" customHeight="1">
      <c r="A153" s="14" t="str">
        <f t="shared" si="1"/>
        <v/>
      </c>
      <c r="B153" s="24"/>
      <c r="C153" s="14"/>
      <c r="D153" s="14"/>
      <c r="E153" s="14" t="str">
        <f>IF(D153="","",IFERROR(VLOOKUP(D153,'Item Master'!$B$3:$C$302,2,0),"Unknown Code"))</f>
        <v/>
      </c>
      <c r="F153" s="14" t="str">
        <f>IF(D153="","",IFERROR(VLOOKUP(D153,'Item Master'!$B$3:$G$302,6,0),""))</f>
        <v/>
      </c>
      <c r="G153" s="19"/>
      <c r="H153" s="14"/>
      <c r="I153" s="14"/>
      <c r="J153" s="14"/>
    </row>
    <row r="154" ht="15.75" customHeight="1">
      <c r="A154" s="14" t="str">
        <f t="shared" si="1"/>
        <v/>
      </c>
      <c r="B154" s="24"/>
      <c r="C154" s="14"/>
      <c r="D154" s="14"/>
      <c r="E154" s="14" t="str">
        <f>IF(D154="","",IFERROR(VLOOKUP(D154,'Item Master'!$B$3:$C$302,2,0),"Unknown Code"))</f>
        <v/>
      </c>
      <c r="F154" s="14" t="str">
        <f>IF(D154="","",IFERROR(VLOOKUP(D154,'Item Master'!$B$3:$G$302,6,0),""))</f>
        <v/>
      </c>
      <c r="G154" s="19"/>
      <c r="H154" s="14"/>
      <c r="I154" s="14"/>
      <c r="J154" s="14"/>
    </row>
    <row r="155" ht="15.75" customHeight="1">
      <c r="A155" s="14" t="str">
        <f t="shared" si="1"/>
        <v/>
      </c>
      <c r="B155" s="24"/>
      <c r="C155" s="14"/>
      <c r="D155" s="14"/>
      <c r="E155" s="14" t="str">
        <f>IF(D155="","",IFERROR(VLOOKUP(D155,'Item Master'!$B$3:$C$302,2,0),"Unknown Code"))</f>
        <v/>
      </c>
      <c r="F155" s="14" t="str">
        <f>IF(D155="","",IFERROR(VLOOKUP(D155,'Item Master'!$B$3:$G$302,6,0),""))</f>
        <v/>
      </c>
      <c r="G155" s="19"/>
      <c r="H155" s="14"/>
      <c r="I155" s="14"/>
      <c r="J155" s="14"/>
    </row>
    <row r="156" ht="15.75" customHeight="1">
      <c r="A156" s="14" t="str">
        <f t="shared" si="1"/>
        <v/>
      </c>
      <c r="B156" s="24"/>
      <c r="C156" s="14"/>
      <c r="D156" s="14"/>
      <c r="E156" s="14" t="str">
        <f>IF(D156="","",IFERROR(VLOOKUP(D156,'Item Master'!$B$3:$C$302,2,0),"Unknown Code"))</f>
        <v/>
      </c>
      <c r="F156" s="14" t="str">
        <f>IF(D156="","",IFERROR(VLOOKUP(D156,'Item Master'!$B$3:$G$302,6,0),""))</f>
        <v/>
      </c>
      <c r="G156" s="19"/>
      <c r="H156" s="14"/>
      <c r="I156" s="14"/>
      <c r="J156" s="14"/>
    </row>
    <row r="157" ht="15.75" customHeight="1">
      <c r="A157" s="14" t="str">
        <f t="shared" si="1"/>
        <v/>
      </c>
      <c r="B157" s="24"/>
      <c r="C157" s="14"/>
      <c r="D157" s="14"/>
      <c r="E157" s="14" t="str">
        <f>IF(D157="","",IFERROR(VLOOKUP(D157,'Item Master'!$B$3:$C$302,2,0),"Unknown Code"))</f>
        <v/>
      </c>
      <c r="F157" s="14" t="str">
        <f>IF(D157="","",IFERROR(VLOOKUP(D157,'Item Master'!$B$3:$G$302,6,0),""))</f>
        <v/>
      </c>
      <c r="G157" s="19"/>
      <c r="H157" s="14"/>
      <c r="I157" s="14"/>
      <c r="J157" s="14"/>
    </row>
    <row r="158" ht="15.75" customHeight="1">
      <c r="A158" s="14" t="str">
        <f t="shared" si="1"/>
        <v/>
      </c>
      <c r="B158" s="24"/>
      <c r="C158" s="14"/>
      <c r="D158" s="14"/>
      <c r="E158" s="14" t="str">
        <f>IF(D158="","",IFERROR(VLOOKUP(D158,'Item Master'!$B$3:$C$302,2,0),"Unknown Code"))</f>
        <v/>
      </c>
      <c r="F158" s="14" t="str">
        <f>IF(D158="","",IFERROR(VLOOKUP(D158,'Item Master'!$B$3:$G$302,6,0),""))</f>
        <v/>
      </c>
      <c r="G158" s="19"/>
      <c r="H158" s="14"/>
      <c r="I158" s="14"/>
      <c r="J158" s="14"/>
    </row>
    <row r="159" ht="15.75" customHeight="1">
      <c r="A159" s="14" t="str">
        <f t="shared" si="1"/>
        <v/>
      </c>
      <c r="B159" s="24"/>
      <c r="C159" s="14"/>
      <c r="D159" s="14"/>
      <c r="E159" s="14" t="str">
        <f>IF(D159="","",IFERROR(VLOOKUP(D159,'Item Master'!$B$3:$C$302,2,0),"Unknown Code"))</f>
        <v/>
      </c>
      <c r="F159" s="14" t="str">
        <f>IF(D159="","",IFERROR(VLOOKUP(D159,'Item Master'!$B$3:$G$302,6,0),""))</f>
        <v/>
      </c>
      <c r="G159" s="19"/>
      <c r="H159" s="14"/>
      <c r="I159" s="14"/>
      <c r="J159" s="14"/>
    </row>
    <row r="160" ht="15.75" customHeight="1">
      <c r="A160" s="14" t="str">
        <f t="shared" si="1"/>
        <v/>
      </c>
      <c r="B160" s="24"/>
      <c r="C160" s="14"/>
      <c r="D160" s="14"/>
      <c r="E160" s="14" t="str">
        <f>IF(D160="","",IFERROR(VLOOKUP(D160,'Item Master'!$B$3:$C$302,2,0),"Unknown Code"))</f>
        <v/>
      </c>
      <c r="F160" s="14" t="str">
        <f>IF(D160="","",IFERROR(VLOOKUP(D160,'Item Master'!$B$3:$G$302,6,0),""))</f>
        <v/>
      </c>
      <c r="G160" s="19"/>
      <c r="H160" s="14"/>
      <c r="I160" s="14"/>
      <c r="J160" s="14"/>
    </row>
    <row r="161" ht="15.75" customHeight="1">
      <c r="A161" s="14" t="str">
        <f t="shared" si="1"/>
        <v/>
      </c>
      <c r="B161" s="24"/>
      <c r="C161" s="14"/>
      <c r="D161" s="14"/>
      <c r="E161" s="14" t="str">
        <f>IF(D161="","",IFERROR(VLOOKUP(D161,'Item Master'!$B$3:$C$302,2,0),"Unknown Code"))</f>
        <v/>
      </c>
      <c r="F161" s="14" t="str">
        <f>IF(D161="","",IFERROR(VLOOKUP(D161,'Item Master'!$B$3:$G$302,6,0),""))</f>
        <v/>
      </c>
      <c r="G161" s="19"/>
      <c r="H161" s="14"/>
      <c r="I161" s="14"/>
      <c r="J161" s="14"/>
    </row>
    <row r="162" ht="15.75" customHeight="1">
      <c r="A162" s="14" t="str">
        <f t="shared" si="1"/>
        <v/>
      </c>
      <c r="B162" s="24"/>
      <c r="C162" s="14"/>
      <c r="D162" s="14"/>
      <c r="E162" s="14" t="str">
        <f>IF(D162="","",IFERROR(VLOOKUP(D162,'Item Master'!$B$3:$C$302,2,0),"Unknown Code"))</f>
        <v/>
      </c>
      <c r="F162" s="14" t="str">
        <f>IF(D162="","",IFERROR(VLOOKUP(D162,'Item Master'!$B$3:$G$302,6,0),""))</f>
        <v/>
      </c>
      <c r="G162" s="19"/>
      <c r="H162" s="14"/>
      <c r="I162" s="14"/>
      <c r="J162" s="14"/>
    </row>
    <row r="163" ht="15.75" customHeight="1">
      <c r="A163" s="14" t="str">
        <f t="shared" si="1"/>
        <v/>
      </c>
      <c r="B163" s="24"/>
      <c r="C163" s="14"/>
      <c r="D163" s="14"/>
      <c r="E163" s="14" t="str">
        <f>IF(D163="","",IFERROR(VLOOKUP(D163,'Item Master'!$B$3:$C$302,2,0),"Unknown Code"))</f>
        <v/>
      </c>
      <c r="F163" s="14" t="str">
        <f>IF(D163="","",IFERROR(VLOOKUP(D163,'Item Master'!$B$3:$G$302,6,0),""))</f>
        <v/>
      </c>
      <c r="G163" s="19"/>
      <c r="H163" s="14"/>
      <c r="I163" s="14"/>
      <c r="J163" s="14"/>
    </row>
    <row r="164" ht="15.75" customHeight="1">
      <c r="A164" s="14" t="str">
        <f t="shared" si="1"/>
        <v/>
      </c>
      <c r="B164" s="24"/>
      <c r="C164" s="14"/>
      <c r="D164" s="14"/>
      <c r="E164" s="14" t="str">
        <f>IF(D164="","",IFERROR(VLOOKUP(D164,'Item Master'!$B$3:$C$302,2,0),"Unknown Code"))</f>
        <v/>
      </c>
      <c r="F164" s="14" t="str">
        <f>IF(D164="","",IFERROR(VLOOKUP(D164,'Item Master'!$B$3:$G$302,6,0),""))</f>
        <v/>
      </c>
      <c r="G164" s="19"/>
      <c r="H164" s="14"/>
      <c r="I164" s="14"/>
      <c r="J164" s="14"/>
    </row>
    <row r="165" ht="15.75" customHeight="1">
      <c r="A165" s="14" t="str">
        <f t="shared" si="1"/>
        <v/>
      </c>
      <c r="B165" s="24"/>
      <c r="C165" s="14"/>
      <c r="D165" s="14"/>
      <c r="E165" s="14" t="str">
        <f>IF(D165="","",IFERROR(VLOOKUP(D165,'Item Master'!$B$3:$C$302,2,0),"Unknown Code"))</f>
        <v/>
      </c>
      <c r="F165" s="14" t="str">
        <f>IF(D165="","",IFERROR(VLOOKUP(D165,'Item Master'!$B$3:$G$302,6,0),""))</f>
        <v/>
      </c>
      <c r="G165" s="19"/>
      <c r="H165" s="14"/>
      <c r="I165" s="14"/>
      <c r="J165" s="14"/>
    </row>
    <row r="166" ht="15.75" customHeight="1">
      <c r="A166" s="14" t="str">
        <f t="shared" si="1"/>
        <v/>
      </c>
      <c r="B166" s="24"/>
      <c r="C166" s="14"/>
      <c r="D166" s="14"/>
      <c r="E166" s="14" t="str">
        <f>IF(D166="","",IFERROR(VLOOKUP(D166,'Item Master'!$B$3:$C$302,2,0),"Unknown Code"))</f>
        <v/>
      </c>
      <c r="F166" s="14" t="str">
        <f>IF(D166="","",IFERROR(VLOOKUP(D166,'Item Master'!$B$3:$G$302,6,0),""))</f>
        <v/>
      </c>
      <c r="G166" s="19"/>
      <c r="H166" s="14"/>
      <c r="I166" s="14"/>
      <c r="J166" s="14"/>
    </row>
    <row r="167" ht="15.75" customHeight="1">
      <c r="A167" s="14" t="str">
        <f t="shared" si="1"/>
        <v/>
      </c>
      <c r="B167" s="24"/>
      <c r="C167" s="14"/>
      <c r="D167" s="14"/>
      <c r="E167" s="14" t="str">
        <f>IF(D167="","",IFERROR(VLOOKUP(D167,'Item Master'!$B$3:$C$302,2,0),"Unknown Code"))</f>
        <v/>
      </c>
      <c r="F167" s="14" t="str">
        <f>IF(D167="","",IFERROR(VLOOKUP(D167,'Item Master'!$B$3:$G$302,6,0),""))</f>
        <v/>
      </c>
      <c r="G167" s="19"/>
      <c r="H167" s="14"/>
      <c r="I167" s="14"/>
      <c r="J167" s="14"/>
    </row>
    <row r="168" ht="15.75" customHeight="1">
      <c r="A168" s="14" t="str">
        <f t="shared" si="1"/>
        <v/>
      </c>
      <c r="B168" s="24"/>
      <c r="C168" s="14"/>
      <c r="D168" s="14"/>
      <c r="E168" s="14" t="str">
        <f>IF(D168="","",IFERROR(VLOOKUP(D168,'Item Master'!$B$3:$C$302,2,0),"Unknown Code"))</f>
        <v/>
      </c>
      <c r="F168" s="14" t="str">
        <f>IF(D168="","",IFERROR(VLOOKUP(D168,'Item Master'!$B$3:$G$302,6,0),""))</f>
        <v/>
      </c>
      <c r="G168" s="19"/>
      <c r="H168" s="14"/>
      <c r="I168" s="14"/>
      <c r="J168" s="14"/>
    </row>
    <row r="169" ht="15.75" customHeight="1">
      <c r="A169" s="14" t="str">
        <f t="shared" si="1"/>
        <v/>
      </c>
      <c r="B169" s="24"/>
      <c r="C169" s="14"/>
      <c r="D169" s="14"/>
      <c r="E169" s="14" t="str">
        <f>IF(D169="","",IFERROR(VLOOKUP(D169,'Item Master'!$B$3:$C$302,2,0),"Unknown Code"))</f>
        <v/>
      </c>
      <c r="F169" s="14" t="str">
        <f>IF(D169="","",IFERROR(VLOOKUP(D169,'Item Master'!$B$3:$G$302,6,0),""))</f>
        <v/>
      </c>
      <c r="G169" s="19"/>
      <c r="H169" s="14"/>
      <c r="I169" s="14"/>
      <c r="J169" s="14"/>
    </row>
    <row r="170" ht="15.75" customHeight="1">
      <c r="A170" s="14" t="str">
        <f t="shared" si="1"/>
        <v/>
      </c>
      <c r="B170" s="24"/>
      <c r="C170" s="14"/>
      <c r="D170" s="14"/>
      <c r="E170" s="14" t="str">
        <f>IF(D170="","",IFERROR(VLOOKUP(D170,'Item Master'!$B$3:$C$302,2,0),"Unknown Code"))</f>
        <v/>
      </c>
      <c r="F170" s="14" t="str">
        <f>IF(D170="","",IFERROR(VLOOKUP(D170,'Item Master'!$B$3:$G$302,6,0),""))</f>
        <v/>
      </c>
      <c r="G170" s="19"/>
      <c r="H170" s="14"/>
      <c r="I170" s="14"/>
      <c r="J170" s="14"/>
    </row>
    <row r="171" ht="15.75" customHeight="1">
      <c r="A171" s="14" t="str">
        <f t="shared" si="1"/>
        <v/>
      </c>
      <c r="B171" s="24"/>
      <c r="C171" s="14"/>
      <c r="D171" s="14"/>
      <c r="E171" s="14" t="str">
        <f>IF(D171="","",IFERROR(VLOOKUP(D171,'Item Master'!$B$3:$C$302,2,0),"Unknown Code"))</f>
        <v/>
      </c>
      <c r="F171" s="14" t="str">
        <f>IF(D171="","",IFERROR(VLOOKUP(D171,'Item Master'!$B$3:$G$302,6,0),""))</f>
        <v/>
      </c>
      <c r="G171" s="19"/>
      <c r="H171" s="14"/>
      <c r="I171" s="14"/>
      <c r="J171" s="14"/>
    </row>
    <row r="172" ht="15.75" customHeight="1">
      <c r="A172" s="14" t="str">
        <f t="shared" si="1"/>
        <v/>
      </c>
      <c r="B172" s="24"/>
      <c r="C172" s="14"/>
      <c r="D172" s="14"/>
      <c r="E172" s="14" t="str">
        <f>IF(D172="","",IFERROR(VLOOKUP(D172,'Item Master'!$B$3:$C$302,2,0),"Unknown Code"))</f>
        <v/>
      </c>
      <c r="F172" s="14" t="str">
        <f>IF(D172="","",IFERROR(VLOOKUP(D172,'Item Master'!$B$3:$G$302,6,0),""))</f>
        <v/>
      </c>
      <c r="G172" s="19"/>
      <c r="H172" s="14"/>
      <c r="I172" s="14"/>
      <c r="J172" s="14"/>
    </row>
    <row r="173" ht="15.75" customHeight="1">
      <c r="A173" s="14" t="str">
        <f t="shared" si="1"/>
        <v/>
      </c>
      <c r="B173" s="24"/>
      <c r="C173" s="14"/>
      <c r="D173" s="14"/>
      <c r="E173" s="14" t="str">
        <f>IF(D173="","",IFERROR(VLOOKUP(D173,'Item Master'!$B$3:$C$302,2,0),"Unknown Code"))</f>
        <v/>
      </c>
      <c r="F173" s="14" t="str">
        <f>IF(D173="","",IFERROR(VLOOKUP(D173,'Item Master'!$B$3:$G$302,6,0),""))</f>
        <v/>
      </c>
      <c r="G173" s="19"/>
      <c r="H173" s="14"/>
      <c r="I173" s="14"/>
      <c r="J173" s="14"/>
    </row>
    <row r="174" ht="15.75" customHeight="1">
      <c r="A174" s="14" t="str">
        <f t="shared" si="1"/>
        <v/>
      </c>
      <c r="B174" s="24"/>
      <c r="C174" s="14"/>
      <c r="D174" s="14"/>
      <c r="E174" s="14" t="str">
        <f>IF(D174="","",IFERROR(VLOOKUP(D174,'Item Master'!$B$3:$C$302,2,0),"Unknown Code"))</f>
        <v/>
      </c>
      <c r="F174" s="14" t="str">
        <f>IF(D174="","",IFERROR(VLOOKUP(D174,'Item Master'!$B$3:$G$302,6,0),""))</f>
        <v/>
      </c>
      <c r="G174" s="19"/>
      <c r="H174" s="14"/>
      <c r="I174" s="14"/>
      <c r="J174" s="14"/>
    </row>
    <row r="175" ht="15.75" customHeight="1">
      <c r="A175" s="14" t="str">
        <f t="shared" si="1"/>
        <v/>
      </c>
      <c r="B175" s="24"/>
      <c r="C175" s="14"/>
      <c r="D175" s="14"/>
      <c r="E175" s="14" t="str">
        <f>IF(D175="","",IFERROR(VLOOKUP(D175,'Item Master'!$B$3:$C$302,2,0),"Unknown Code"))</f>
        <v/>
      </c>
      <c r="F175" s="14" t="str">
        <f>IF(D175="","",IFERROR(VLOOKUP(D175,'Item Master'!$B$3:$G$302,6,0),""))</f>
        <v/>
      </c>
      <c r="G175" s="19"/>
      <c r="H175" s="14"/>
      <c r="I175" s="14"/>
      <c r="J175" s="14"/>
    </row>
    <row r="176" ht="15.75" customHeight="1">
      <c r="A176" s="14" t="str">
        <f t="shared" si="1"/>
        <v/>
      </c>
      <c r="B176" s="24"/>
      <c r="C176" s="14"/>
      <c r="D176" s="14"/>
      <c r="E176" s="14" t="str">
        <f>IF(D176="","",IFERROR(VLOOKUP(D176,'Item Master'!$B$3:$C$302,2,0),"Unknown Code"))</f>
        <v/>
      </c>
      <c r="F176" s="14" t="str">
        <f>IF(D176="","",IFERROR(VLOOKUP(D176,'Item Master'!$B$3:$G$302,6,0),""))</f>
        <v/>
      </c>
      <c r="G176" s="19"/>
      <c r="H176" s="14"/>
      <c r="I176" s="14"/>
      <c r="J176" s="14"/>
    </row>
    <row r="177" ht="15.75" customHeight="1">
      <c r="A177" s="14" t="str">
        <f t="shared" si="1"/>
        <v/>
      </c>
      <c r="B177" s="24"/>
      <c r="C177" s="14"/>
      <c r="D177" s="14"/>
      <c r="E177" s="14" t="str">
        <f>IF(D177="","",IFERROR(VLOOKUP(D177,'Item Master'!$B$3:$C$302,2,0),"Unknown Code"))</f>
        <v/>
      </c>
      <c r="F177" s="14" t="str">
        <f>IF(D177="","",IFERROR(VLOOKUP(D177,'Item Master'!$B$3:$G$302,6,0),""))</f>
        <v/>
      </c>
      <c r="G177" s="19"/>
      <c r="H177" s="14"/>
      <c r="I177" s="14"/>
      <c r="J177" s="14"/>
    </row>
    <row r="178" ht="15.75" customHeight="1">
      <c r="A178" s="14" t="str">
        <f t="shared" si="1"/>
        <v/>
      </c>
      <c r="B178" s="24"/>
      <c r="C178" s="14"/>
      <c r="D178" s="14"/>
      <c r="E178" s="14" t="str">
        <f>IF(D178="","",IFERROR(VLOOKUP(D178,'Item Master'!$B$3:$C$302,2,0),"Unknown Code"))</f>
        <v/>
      </c>
      <c r="F178" s="14" t="str">
        <f>IF(D178="","",IFERROR(VLOOKUP(D178,'Item Master'!$B$3:$G$302,6,0),""))</f>
        <v/>
      </c>
      <c r="G178" s="19"/>
      <c r="H178" s="14"/>
      <c r="I178" s="14"/>
      <c r="J178" s="14"/>
    </row>
    <row r="179" ht="15.75" customHeight="1">
      <c r="A179" s="14" t="str">
        <f t="shared" si="1"/>
        <v/>
      </c>
      <c r="B179" s="24"/>
      <c r="C179" s="14"/>
      <c r="D179" s="14"/>
      <c r="E179" s="14" t="str">
        <f>IF(D179="","",IFERROR(VLOOKUP(D179,'Item Master'!$B$3:$C$302,2,0),"Unknown Code"))</f>
        <v/>
      </c>
      <c r="F179" s="14" t="str">
        <f>IF(D179="","",IFERROR(VLOOKUP(D179,'Item Master'!$B$3:$G$302,6,0),""))</f>
        <v/>
      </c>
      <c r="G179" s="19"/>
      <c r="H179" s="14"/>
      <c r="I179" s="14"/>
      <c r="J179" s="14"/>
    </row>
    <row r="180" ht="15.75" customHeight="1">
      <c r="A180" s="14" t="str">
        <f t="shared" si="1"/>
        <v/>
      </c>
      <c r="B180" s="24"/>
      <c r="C180" s="14"/>
      <c r="D180" s="14"/>
      <c r="E180" s="14" t="str">
        <f>IF(D180="","",IFERROR(VLOOKUP(D180,'Item Master'!$B$3:$C$302,2,0),"Unknown Code"))</f>
        <v/>
      </c>
      <c r="F180" s="14" t="str">
        <f>IF(D180="","",IFERROR(VLOOKUP(D180,'Item Master'!$B$3:$G$302,6,0),""))</f>
        <v/>
      </c>
      <c r="G180" s="19"/>
      <c r="H180" s="14"/>
      <c r="I180" s="14"/>
      <c r="J180" s="14"/>
    </row>
    <row r="181" ht="15.75" customHeight="1">
      <c r="A181" s="14" t="str">
        <f t="shared" si="1"/>
        <v/>
      </c>
      <c r="B181" s="24"/>
      <c r="C181" s="14"/>
      <c r="D181" s="14"/>
      <c r="E181" s="14" t="str">
        <f>IF(D181="","",IFERROR(VLOOKUP(D181,'Item Master'!$B$3:$C$302,2,0),"Unknown Code"))</f>
        <v/>
      </c>
      <c r="F181" s="14" t="str">
        <f>IF(D181="","",IFERROR(VLOOKUP(D181,'Item Master'!$B$3:$G$302,6,0),""))</f>
        <v/>
      </c>
      <c r="G181" s="19"/>
      <c r="H181" s="14"/>
      <c r="I181" s="14"/>
      <c r="J181" s="14"/>
    </row>
    <row r="182" ht="15.75" customHeight="1">
      <c r="A182" s="14" t="str">
        <f t="shared" si="1"/>
        <v/>
      </c>
      <c r="B182" s="24"/>
      <c r="C182" s="14"/>
      <c r="D182" s="14"/>
      <c r="E182" s="14" t="str">
        <f>IF(D182="","",IFERROR(VLOOKUP(D182,'Item Master'!$B$3:$C$302,2,0),"Unknown Code"))</f>
        <v/>
      </c>
      <c r="F182" s="14" t="str">
        <f>IF(D182="","",IFERROR(VLOOKUP(D182,'Item Master'!$B$3:$G$302,6,0),""))</f>
        <v/>
      </c>
      <c r="G182" s="19"/>
      <c r="H182" s="14"/>
      <c r="I182" s="14"/>
      <c r="J182" s="14"/>
    </row>
    <row r="183" ht="15.75" customHeight="1">
      <c r="A183" s="14" t="str">
        <f t="shared" si="1"/>
        <v/>
      </c>
      <c r="B183" s="24"/>
      <c r="C183" s="14"/>
      <c r="D183" s="14"/>
      <c r="E183" s="14" t="str">
        <f>IF(D183="","",IFERROR(VLOOKUP(D183,'Item Master'!$B$3:$C$302,2,0),"Unknown Code"))</f>
        <v/>
      </c>
      <c r="F183" s="14" t="str">
        <f>IF(D183="","",IFERROR(VLOOKUP(D183,'Item Master'!$B$3:$G$302,6,0),""))</f>
        <v/>
      </c>
      <c r="G183" s="19"/>
      <c r="H183" s="14"/>
      <c r="I183" s="14"/>
      <c r="J183" s="14"/>
    </row>
    <row r="184" ht="15.75" customHeight="1">
      <c r="A184" s="14" t="str">
        <f t="shared" si="1"/>
        <v/>
      </c>
      <c r="B184" s="24"/>
      <c r="C184" s="14"/>
      <c r="D184" s="14"/>
      <c r="E184" s="14" t="str">
        <f>IF(D184="","",IFERROR(VLOOKUP(D184,'Item Master'!$B$3:$C$302,2,0),"Unknown Code"))</f>
        <v/>
      </c>
      <c r="F184" s="14" t="str">
        <f>IF(D184="","",IFERROR(VLOOKUP(D184,'Item Master'!$B$3:$G$302,6,0),""))</f>
        <v/>
      </c>
      <c r="G184" s="19"/>
      <c r="H184" s="14"/>
      <c r="I184" s="14"/>
      <c r="J184" s="14"/>
    </row>
    <row r="185" ht="15.75" customHeight="1">
      <c r="A185" s="14" t="str">
        <f t="shared" si="1"/>
        <v/>
      </c>
      <c r="B185" s="24"/>
      <c r="C185" s="14"/>
      <c r="D185" s="14"/>
      <c r="E185" s="14" t="str">
        <f>IF(D185="","",IFERROR(VLOOKUP(D185,'Item Master'!$B$3:$C$302,2,0),"Unknown Code"))</f>
        <v/>
      </c>
      <c r="F185" s="14" t="str">
        <f>IF(D185="","",IFERROR(VLOOKUP(D185,'Item Master'!$B$3:$G$302,6,0),""))</f>
        <v/>
      </c>
      <c r="G185" s="19"/>
      <c r="H185" s="14"/>
      <c r="I185" s="14"/>
      <c r="J185" s="14"/>
    </row>
    <row r="186" ht="15.75" customHeight="1">
      <c r="A186" s="14" t="str">
        <f t="shared" si="1"/>
        <v/>
      </c>
      <c r="B186" s="24"/>
      <c r="C186" s="14"/>
      <c r="D186" s="14"/>
      <c r="E186" s="14" t="str">
        <f>IF(D186="","",IFERROR(VLOOKUP(D186,'Item Master'!$B$3:$C$302,2,0),"Unknown Code"))</f>
        <v/>
      </c>
      <c r="F186" s="14" t="str">
        <f>IF(D186="","",IFERROR(VLOOKUP(D186,'Item Master'!$B$3:$G$302,6,0),""))</f>
        <v/>
      </c>
      <c r="G186" s="19"/>
      <c r="H186" s="14"/>
      <c r="I186" s="14"/>
      <c r="J186" s="14"/>
    </row>
    <row r="187" ht="15.75" customHeight="1">
      <c r="A187" s="14" t="str">
        <f t="shared" si="1"/>
        <v/>
      </c>
      <c r="B187" s="24"/>
      <c r="C187" s="14"/>
      <c r="D187" s="14"/>
      <c r="E187" s="14" t="str">
        <f>IF(D187="","",IFERROR(VLOOKUP(D187,'Item Master'!$B$3:$C$302,2,0),"Unknown Code"))</f>
        <v/>
      </c>
      <c r="F187" s="14" t="str">
        <f>IF(D187="","",IFERROR(VLOOKUP(D187,'Item Master'!$B$3:$G$302,6,0),""))</f>
        <v/>
      </c>
      <c r="G187" s="19"/>
      <c r="H187" s="14"/>
      <c r="I187" s="14"/>
      <c r="J187" s="14"/>
    </row>
    <row r="188" ht="15.75" customHeight="1">
      <c r="A188" s="14" t="str">
        <f t="shared" si="1"/>
        <v/>
      </c>
      <c r="B188" s="24"/>
      <c r="C188" s="14"/>
      <c r="D188" s="14"/>
      <c r="E188" s="14" t="str">
        <f>IF(D188="","",IFERROR(VLOOKUP(D188,'Item Master'!$B$3:$C$302,2,0),"Unknown Code"))</f>
        <v/>
      </c>
      <c r="F188" s="14" t="str">
        <f>IF(D188="","",IFERROR(VLOOKUP(D188,'Item Master'!$B$3:$G$302,6,0),""))</f>
        <v/>
      </c>
      <c r="G188" s="19"/>
      <c r="H188" s="14"/>
      <c r="I188" s="14"/>
      <c r="J188" s="14"/>
    </row>
    <row r="189" ht="15.75" customHeight="1">
      <c r="A189" s="14" t="str">
        <f t="shared" si="1"/>
        <v/>
      </c>
      <c r="B189" s="24"/>
      <c r="C189" s="14"/>
      <c r="D189" s="14"/>
      <c r="E189" s="14" t="str">
        <f>IF(D189="","",IFERROR(VLOOKUP(D189,'Item Master'!$B$3:$C$302,2,0),"Unknown Code"))</f>
        <v/>
      </c>
      <c r="F189" s="14" t="str">
        <f>IF(D189="","",IFERROR(VLOOKUP(D189,'Item Master'!$B$3:$G$302,6,0),""))</f>
        <v/>
      </c>
      <c r="G189" s="19"/>
      <c r="H189" s="14"/>
      <c r="I189" s="14"/>
      <c r="J189" s="14"/>
    </row>
    <row r="190" ht="15.75" customHeight="1">
      <c r="A190" s="14" t="str">
        <f t="shared" si="1"/>
        <v/>
      </c>
      <c r="B190" s="24"/>
      <c r="C190" s="14"/>
      <c r="D190" s="14"/>
      <c r="E190" s="14" t="str">
        <f>IF(D190="","",IFERROR(VLOOKUP(D190,'Item Master'!$B$3:$C$302,2,0),"Unknown Code"))</f>
        <v/>
      </c>
      <c r="F190" s="14" t="str">
        <f>IF(D190="","",IFERROR(VLOOKUP(D190,'Item Master'!$B$3:$G$302,6,0),""))</f>
        <v/>
      </c>
      <c r="G190" s="19"/>
      <c r="H190" s="14"/>
      <c r="I190" s="14"/>
      <c r="J190" s="14"/>
    </row>
    <row r="191" ht="15.75" customHeight="1">
      <c r="A191" s="14" t="str">
        <f t="shared" si="1"/>
        <v/>
      </c>
      <c r="B191" s="24"/>
      <c r="C191" s="14"/>
      <c r="D191" s="14"/>
      <c r="E191" s="14" t="str">
        <f>IF(D191="","",IFERROR(VLOOKUP(D191,'Item Master'!$B$3:$C$302,2,0),"Unknown Code"))</f>
        <v/>
      </c>
      <c r="F191" s="14" t="str">
        <f>IF(D191="","",IFERROR(VLOOKUP(D191,'Item Master'!$B$3:$G$302,6,0),""))</f>
        <v/>
      </c>
      <c r="G191" s="19"/>
      <c r="H191" s="14"/>
      <c r="I191" s="14"/>
      <c r="J191" s="14"/>
    </row>
    <row r="192" ht="15.75" customHeight="1">
      <c r="A192" s="14" t="str">
        <f t="shared" si="1"/>
        <v/>
      </c>
      <c r="B192" s="24"/>
      <c r="C192" s="14"/>
      <c r="D192" s="14"/>
      <c r="E192" s="14" t="str">
        <f>IF(D192="","",IFERROR(VLOOKUP(D192,'Item Master'!$B$3:$C$302,2,0),"Unknown Code"))</f>
        <v/>
      </c>
      <c r="F192" s="14" t="str">
        <f>IF(D192="","",IFERROR(VLOOKUP(D192,'Item Master'!$B$3:$G$302,6,0),""))</f>
        <v/>
      </c>
      <c r="G192" s="19"/>
      <c r="H192" s="14"/>
      <c r="I192" s="14"/>
      <c r="J192" s="14"/>
    </row>
    <row r="193" ht="15.75" customHeight="1">
      <c r="A193" s="14" t="str">
        <f t="shared" si="1"/>
        <v/>
      </c>
      <c r="B193" s="24"/>
      <c r="C193" s="14"/>
      <c r="D193" s="14"/>
      <c r="E193" s="14" t="str">
        <f>IF(D193="","",IFERROR(VLOOKUP(D193,'Item Master'!$B$3:$C$302,2,0),"Unknown Code"))</f>
        <v/>
      </c>
      <c r="F193" s="14" t="str">
        <f>IF(D193="","",IFERROR(VLOOKUP(D193,'Item Master'!$B$3:$G$302,6,0),""))</f>
        <v/>
      </c>
      <c r="G193" s="19"/>
      <c r="H193" s="14"/>
      <c r="I193" s="14"/>
      <c r="J193" s="14"/>
    </row>
    <row r="194" ht="15.75" customHeight="1">
      <c r="A194" s="14" t="str">
        <f t="shared" si="1"/>
        <v/>
      </c>
      <c r="B194" s="24"/>
      <c r="C194" s="14"/>
      <c r="D194" s="14"/>
      <c r="E194" s="14" t="str">
        <f>IF(D194="","",IFERROR(VLOOKUP(D194,'Item Master'!$B$3:$C$302,2,0),"Unknown Code"))</f>
        <v/>
      </c>
      <c r="F194" s="14" t="str">
        <f>IF(D194="","",IFERROR(VLOOKUP(D194,'Item Master'!$B$3:$G$302,6,0),""))</f>
        <v/>
      </c>
      <c r="G194" s="19"/>
      <c r="H194" s="14"/>
      <c r="I194" s="14"/>
      <c r="J194" s="14"/>
    </row>
    <row r="195" ht="15.75" customHeight="1">
      <c r="A195" s="14" t="str">
        <f t="shared" si="1"/>
        <v/>
      </c>
      <c r="B195" s="24"/>
      <c r="C195" s="14"/>
      <c r="D195" s="14"/>
      <c r="E195" s="14" t="str">
        <f>IF(D195="","",IFERROR(VLOOKUP(D195,'Item Master'!$B$3:$C$302,2,0),"Unknown Code"))</f>
        <v/>
      </c>
      <c r="F195" s="14" t="str">
        <f>IF(D195="","",IFERROR(VLOOKUP(D195,'Item Master'!$B$3:$G$302,6,0),""))</f>
        <v/>
      </c>
      <c r="G195" s="19"/>
      <c r="H195" s="14"/>
      <c r="I195" s="14"/>
      <c r="J195" s="14"/>
    </row>
    <row r="196" ht="15.75" customHeight="1">
      <c r="A196" s="14" t="str">
        <f t="shared" si="1"/>
        <v/>
      </c>
      <c r="B196" s="24"/>
      <c r="C196" s="14"/>
      <c r="D196" s="14"/>
      <c r="E196" s="14" t="str">
        <f>IF(D196="","",IFERROR(VLOOKUP(D196,'Item Master'!$B$3:$C$302,2,0),"Unknown Code"))</f>
        <v/>
      </c>
      <c r="F196" s="14" t="str">
        <f>IF(D196="","",IFERROR(VLOOKUP(D196,'Item Master'!$B$3:$G$302,6,0),""))</f>
        <v/>
      </c>
      <c r="G196" s="19"/>
      <c r="H196" s="14"/>
      <c r="I196" s="14"/>
      <c r="J196" s="14"/>
    </row>
    <row r="197" ht="15.75" customHeight="1">
      <c r="A197" s="14" t="str">
        <f t="shared" si="1"/>
        <v/>
      </c>
      <c r="B197" s="24"/>
      <c r="C197" s="14"/>
      <c r="D197" s="14"/>
      <c r="E197" s="14" t="str">
        <f>IF(D197="","",IFERROR(VLOOKUP(D197,'Item Master'!$B$3:$C$302,2,0),"Unknown Code"))</f>
        <v/>
      </c>
      <c r="F197" s="14" t="str">
        <f>IF(D197="","",IFERROR(VLOOKUP(D197,'Item Master'!$B$3:$G$302,6,0),""))</f>
        <v/>
      </c>
      <c r="G197" s="19"/>
      <c r="H197" s="14"/>
      <c r="I197" s="14"/>
      <c r="J197" s="14"/>
    </row>
    <row r="198" ht="15.75" customHeight="1">
      <c r="A198" s="14" t="str">
        <f t="shared" si="1"/>
        <v/>
      </c>
      <c r="B198" s="24"/>
      <c r="C198" s="14"/>
      <c r="D198" s="14"/>
      <c r="E198" s="14" t="str">
        <f>IF(D198="","",IFERROR(VLOOKUP(D198,'Item Master'!$B$3:$C$302,2,0),"Unknown Code"))</f>
        <v/>
      </c>
      <c r="F198" s="14" t="str">
        <f>IF(D198="","",IFERROR(VLOOKUP(D198,'Item Master'!$B$3:$G$302,6,0),""))</f>
        <v/>
      </c>
      <c r="G198" s="19"/>
      <c r="H198" s="14"/>
      <c r="I198" s="14"/>
      <c r="J198" s="14"/>
    </row>
    <row r="199" ht="15.75" customHeight="1">
      <c r="A199" s="14" t="str">
        <f t="shared" si="1"/>
        <v/>
      </c>
      <c r="B199" s="24"/>
      <c r="C199" s="14"/>
      <c r="D199" s="14"/>
      <c r="E199" s="14" t="str">
        <f>IF(D199="","",IFERROR(VLOOKUP(D199,'Item Master'!$B$3:$C$302,2,0),"Unknown Code"))</f>
        <v/>
      </c>
      <c r="F199" s="14" t="str">
        <f>IF(D199="","",IFERROR(VLOOKUP(D199,'Item Master'!$B$3:$G$302,6,0),""))</f>
        <v/>
      </c>
      <c r="G199" s="19"/>
      <c r="H199" s="14"/>
      <c r="I199" s="14"/>
      <c r="J199" s="14"/>
    </row>
    <row r="200" ht="15.75" customHeight="1">
      <c r="A200" s="14" t="str">
        <f t="shared" si="1"/>
        <v/>
      </c>
      <c r="B200" s="24"/>
      <c r="C200" s="14"/>
      <c r="D200" s="14"/>
      <c r="E200" s="14" t="str">
        <f>IF(D200="","",IFERROR(VLOOKUP(D200,'Item Master'!$B$3:$C$302,2,0),"Unknown Code"))</f>
        <v/>
      </c>
      <c r="F200" s="14" t="str">
        <f>IF(D200="","",IFERROR(VLOOKUP(D200,'Item Master'!$B$3:$G$302,6,0),""))</f>
        <v/>
      </c>
      <c r="G200" s="19"/>
      <c r="H200" s="14"/>
      <c r="I200" s="14"/>
      <c r="J200" s="14"/>
    </row>
    <row r="201" ht="15.75" customHeight="1">
      <c r="A201" s="14" t="str">
        <f t="shared" si="1"/>
        <v/>
      </c>
      <c r="B201" s="24"/>
      <c r="C201" s="14"/>
      <c r="D201" s="14"/>
      <c r="E201" s="14" t="str">
        <f>IF(D201="","",IFERROR(VLOOKUP(D201,'Item Master'!$B$3:$C$302,2,0),"Unknown Code"))</f>
        <v/>
      </c>
      <c r="F201" s="14" t="str">
        <f>IF(D201="","",IFERROR(VLOOKUP(D201,'Item Master'!$B$3:$G$302,6,0),""))</f>
        <v/>
      </c>
      <c r="G201" s="19"/>
      <c r="H201" s="14"/>
      <c r="I201" s="14"/>
      <c r="J201" s="14"/>
    </row>
    <row r="202" ht="15.75" customHeight="1">
      <c r="A202" s="14" t="str">
        <f t="shared" si="1"/>
        <v/>
      </c>
      <c r="B202" s="24"/>
      <c r="C202" s="14"/>
      <c r="D202" s="14"/>
      <c r="E202" s="14" t="str">
        <f>IF(D202="","",IFERROR(VLOOKUP(D202,'Item Master'!$B$3:$C$302,2,0),"Unknown Code"))</f>
        <v/>
      </c>
      <c r="F202" s="14" t="str">
        <f>IF(D202="","",IFERROR(VLOOKUP(D202,'Item Master'!$B$3:$G$302,6,0),""))</f>
        <v/>
      </c>
      <c r="G202" s="19"/>
      <c r="H202" s="14"/>
      <c r="I202" s="14"/>
      <c r="J202" s="14"/>
    </row>
    <row r="203" ht="15.75" customHeight="1">
      <c r="A203" s="14" t="str">
        <f t="shared" si="1"/>
        <v/>
      </c>
      <c r="B203" s="24"/>
      <c r="C203" s="14"/>
      <c r="D203" s="14"/>
      <c r="E203" s="14" t="str">
        <f>IF(D203="","",IFERROR(VLOOKUP(D203,'Item Master'!$B$3:$C$302,2,0),"Unknown Code"))</f>
        <v/>
      </c>
      <c r="F203" s="14" t="str">
        <f>IF(D203="","",IFERROR(VLOOKUP(D203,'Item Master'!$B$3:$G$302,6,0),""))</f>
        <v/>
      </c>
      <c r="G203" s="19"/>
      <c r="H203" s="14"/>
      <c r="I203" s="14"/>
      <c r="J203" s="14"/>
    </row>
    <row r="204" ht="15.75" customHeight="1">
      <c r="A204" s="14" t="str">
        <f t="shared" si="1"/>
        <v/>
      </c>
      <c r="B204" s="24"/>
      <c r="C204" s="14"/>
      <c r="D204" s="14"/>
      <c r="E204" s="14" t="str">
        <f>IF(D204="","",IFERROR(VLOOKUP(D204,'Item Master'!$B$3:$C$302,2,0),"Unknown Code"))</f>
        <v/>
      </c>
      <c r="F204" s="14" t="str">
        <f>IF(D204="","",IFERROR(VLOOKUP(D204,'Item Master'!$B$3:$G$302,6,0),""))</f>
        <v/>
      </c>
      <c r="G204" s="19"/>
      <c r="H204" s="14"/>
      <c r="I204" s="14"/>
      <c r="J204" s="14"/>
    </row>
    <row r="205" ht="15.75" customHeight="1">
      <c r="A205" s="14" t="str">
        <f t="shared" si="1"/>
        <v/>
      </c>
      <c r="B205" s="24"/>
      <c r="C205" s="14"/>
      <c r="D205" s="14"/>
      <c r="E205" s="14" t="str">
        <f>IF(D205="","",IFERROR(VLOOKUP(D205,'Item Master'!$B$3:$C$302,2,0),"Unknown Code"))</f>
        <v/>
      </c>
      <c r="F205" s="14" t="str">
        <f>IF(D205="","",IFERROR(VLOOKUP(D205,'Item Master'!$B$3:$G$302,6,0),""))</f>
        <v/>
      </c>
      <c r="G205" s="19"/>
      <c r="H205" s="14"/>
      <c r="I205" s="14"/>
      <c r="J205" s="14"/>
    </row>
    <row r="206" ht="15.75" customHeight="1">
      <c r="A206" s="14" t="str">
        <f t="shared" si="1"/>
        <v/>
      </c>
      <c r="B206" s="24"/>
      <c r="C206" s="14"/>
      <c r="D206" s="14"/>
      <c r="E206" s="14" t="str">
        <f>IF(D206="","",IFERROR(VLOOKUP(D206,'Item Master'!$B$3:$C$302,2,0),"Unknown Code"))</f>
        <v/>
      </c>
      <c r="F206" s="14" t="str">
        <f>IF(D206="","",IFERROR(VLOOKUP(D206,'Item Master'!$B$3:$G$302,6,0),""))</f>
        <v/>
      </c>
      <c r="G206" s="19"/>
      <c r="H206" s="14"/>
      <c r="I206" s="14"/>
      <c r="J206" s="14"/>
    </row>
    <row r="207" ht="15.75" customHeight="1">
      <c r="A207" s="14" t="str">
        <f t="shared" si="1"/>
        <v/>
      </c>
      <c r="B207" s="24"/>
      <c r="C207" s="14"/>
      <c r="D207" s="14"/>
      <c r="E207" s="14" t="str">
        <f>IF(D207="","",IFERROR(VLOOKUP(D207,'Item Master'!$B$3:$C$302,2,0),"Unknown Code"))</f>
        <v/>
      </c>
      <c r="F207" s="14" t="str">
        <f>IF(D207="","",IFERROR(VLOOKUP(D207,'Item Master'!$B$3:$G$302,6,0),""))</f>
        <v/>
      </c>
      <c r="G207" s="19"/>
      <c r="H207" s="14"/>
      <c r="I207" s="14"/>
      <c r="J207" s="14"/>
    </row>
    <row r="208" ht="15.75" customHeight="1">
      <c r="A208" s="14" t="str">
        <f t="shared" si="1"/>
        <v/>
      </c>
      <c r="B208" s="24"/>
      <c r="C208" s="14"/>
      <c r="D208" s="14"/>
      <c r="E208" s="14" t="str">
        <f>IF(D208="","",IFERROR(VLOOKUP(D208,'Item Master'!$B$3:$C$302,2,0),"Unknown Code"))</f>
        <v/>
      </c>
      <c r="F208" s="14" t="str">
        <f>IF(D208="","",IFERROR(VLOOKUP(D208,'Item Master'!$B$3:$G$302,6,0),""))</f>
        <v/>
      </c>
      <c r="G208" s="19"/>
      <c r="H208" s="14"/>
      <c r="I208" s="14"/>
      <c r="J208" s="14"/>
    </row>
    <row r="209" ht="15.75" customHeight="1">
      <c r="A209" s="14" t="str">
        <f t="shared" si="1"/>
        <v/>
      </c>
      <c r="B209" s="24"/>
      <c r="C209" s="14"/>
      <c r="D209" s="14"/>
      <c r="E209" s="14" t="str">
        <f>IF(D209="","",IFERROR(VLOOKUP(D209,'Item Master'!$B$3:$C$302,2,0),"Unknown Code"))</f>
        <v/>
      </c>
      <c r="F209" s="14" t="str">
        <f>IF(D209="","",IFERROR(VLOOKUP(D209,'Item Master'!$B$3:$G$302,6,0),""))</f>
        <v/>
      </c>
      <c r="G209" s="19"/>
      <c r="H209" s="14"/>
      <c r="I209" s="14"/>
      <c r="J209" s="14"/>
    </row>
    <row r="210" ht="15.75" customHeight="1">
      <c r="A210" s="14" t="str">
        <f t="shared" si="1"/>
        <v/>
      </c>
      <c r="B210" s="24"/>
      <c r="C210" s="14"/>
      <c r="D210" s="14"/>
      <c r="E210" s="14" t="str">
        <f>IF(D210="","",IFERROR(VLOOKUP(D210,'Item Master'!$B$3:$C$302,2,0),"Unknown Code"))</f>
        <v/>
      </c>
      <c r="F210" s="14" t="str">
        <f>IF(D210="","",IFERROR(VLOOKUP(D210,'Item Master'!$B$3:$G$302,6,0),""))</f>
        <v/>
      </c>
      <c r="G210" s="19"/>
      <c r="H210" s="14"/>
      <c r="I210" s="14"/>
      <c r="J210" s="14"/>
    </row>
    <row r="211" ht="15.75" customHeight="1">
      <c r="A211" s="14" t="str">
        <f t="shared" si="1"/>
        <v/>
      </c>
      <c r="B211" s="24"/>
      <c r="C211" s="14"/>
      <c r="D211" s="14"/>
      <c r="E211" s="14" t="str">
        <f>IF(D211="","",IFERROR(VLOOKUP(D211,'Item Master'!$B$3:$C$302,2,0),"Unknown Code"))</f>
        <v/>
      </c>
      <c r="F211" s="14" t="str">
        <f>IF(D211="","",IFERROR(VLOOKUP(D211,'Item Master'!$B$3:$G$302,6,0),""))</f>
        <v/>
      </c>
      <c r="G211" s="19"/>
      <c r="H211" s="14"/>
      <c r="I211" s="14"/>
      <c r="J211" s="14"/>
    </row>
    <row r="212" ht="15.75" customHeight="1">
      <c r="A212" s="14" t="str">
        <f t="shared" si="1"/>
        <v/>
      </c>
      <c r="B212" s="24"/>
      <c r="C212" s="14"/>
      <c r="D212" s="14"/>
      <c r="E212" s="14" t="str">
        <f>IF(D212="","",IFERROR(VLOOKUP(D212,'Item Master'!$B$3:$C$302,2,0),"Unknown Code"))</f>
        <v/>
      </c>
      <c r="F212" s="14" t="str">
        <f>IF(D212="","",IFERROR(VLOOKUP(D212,'Item Master'!$B$3:$G$302,6,0),""))</f>
        <v/>
      </c>
      <c r="G212" s="19"/>
      <c r="H212" s="14"/>
      <c r="I212" s="14"/>
      <c r="J212" s="14"/>
    </row>
    <row r="213" ht="15.75" customHeight="1">
      <c r="A213" s="14" t="str">
        <f t="shared" si="1"/>
        <v/>
      </c>
      <c r="B213" s="24"/>
      <c r="C213" s="14"/>
      <c r="D213" s="14"/>
      <c r="E213" s="14" t="str">
        <f>IF(D213="","",IFERROR(VLOOKUP(D213,'Item Master'!$B$3:$C$302,2,0),"Unknown Code"))</f>
        <v/>
      </c>
      <c r="F213" s="14" t="str">
        <f>IF(D213="","",IFERROR(VLOOKUP(D213,'Item Master'!$B$3:$G$302,6,0),""))</f>
        <v/>
      </c>
      <c r="G213" s="19"/>
      <c r="H213" s="14"/>
      <c r="I213" s="14"/>
      <c r="J213" s="14"/>
    </row>
    <row r="214" ht="15.75" customHeight="1">
      <c r="A214" s="14" t="str">
        <f t="shared" si="1"/>
        <v/>
      </c>
      <c r="B214" s="24"/>
      <c r="C214" s="14"/>
      <c r="D214" s="14"/>
      <c r="E214" s="14" t="str">
        <f>IF(D214="","",IFERROR(VLOOKUP(D214,'Item Master'!$B$3:$C$302,2,0),"Unknown Code"))</f>
        <v/>
      </c>
      <c r="F214" s="14" t="str">
        <f>IF(D214="","",IFERROR(VLOOKUP(D214,'Item Master'!$B$3:$G$302,6,0),""))</f>
        <v/>
      </c>
      <c r="G214" s="19"/>
      <c r="H214" s="14"/>
      <c r="I214" s="14"/>
      <c r="J214" s="14"/>
    </row>
    <row r="215" ht="15.75" customHeight="1">
      <c r="A215" s="14" t="str">
        <f t="shared" si="1"/>
        <v/>
      </c>
      <c r="B215" s="24"/>
      <c r="C215" s="14"/>
      <c r="D215" s="14"/>
      <c r="E215" s="14" t="str">
        <f>IF(D215="","",IFERROR(VLOOKUP(D215,'Item Master'!$B$3:$C$302,2,0),"Unknown Code"))</f>
        <v/>
      </c>
      <c r="F215" s="14" t="str">
        <f>IF(D215="","",IFERROR(VLOOKUP(D215,'Item Master'!$B$3:$G$302,6,0),""))</f>
        <v/>
      </c>
      <c r="G215" s="19"/>
      <c r="H215" s="14"/>
      <c r="I215" s="14"/>
      <c r="J215" s="14"/>
    </row>
    <row r="216" ht="15.75" customHeight="1">
      <c r="A216" s="14" t="str">
        <f t="shared" si="1"/>
        <v/>
      </c>
      <c r="B216" s="24"/>
      <c r="C216" s="14"/>
      <c r="D216" s="14"/>
      <c r="E216" s="14" t="str">
        <f>IF(D216="","",IFERROR(VLOOKUP(D216,'Item Master'!$B$3:$C$302,2,0),"Unknown Code"))</f>
        <v/>
      </c>
      <c r="F216" s="14" t="str">
        <f>IF(D216="","",IFERROR(VLOOKUP(D216,'Item Master'!$B$3:$G$302,6,0),""))</f>
        <v/>
      </c>
      <c r="G216" s="19"/>
      <c r="H216" s="14"/>
      <c r="I216" s="14"/>
      <c r="J216" s="14"/>
    </row>
    <row r="217" ht="15.75" customHeight="1">
      <c r="A217" s="14" t="str">
        <f t="shared" si="1"/>
        <v/>
      </c>
      <c r="B217" s="24"/>
      <c r="C217" s="14"/>
      <c r="D217" s="14"/>
      <c r="E217" s="14" t="str">
        <f>IF(D217="","",IFERROR(VLOOKUP(D217,'Item Master'!$B$3:$C$302,2,0),"Unknown Code"))</f>
        <v/>
      </c>
      <c r="F217" s="14" t="str">
        <f>IF(D217="","",IFERROR(VLOOKUP(D217,'Item Master'!$B$3:$G$302,6,0),""))</f>
        <v/>
      </c>
      <c r="G217" s="19"/>
      <c r="H217" s="14"/>
      <c r="I217" s="14"/>
      <c r="J217" s="14"/>
    </row>
    <row r="218" ht="15.75" customHeight="1">
      <c r="A218" s="14" t="str">
        <f t="shared" si="1"/>
        <v/>
      </c>
      <c r="B218" s="24"/>
      <c r="C218" s="14"/>
      <c r="D218" s="14"/>
      <c r="E218" s="14" t="str">
        <f>IF(D218="","",IFERROR(VLOOKUP(D218,'Item Master'!$B$3:$C$302,2,0),"Unknown Code"))</f>
        <v/>
      </c>
      <c r="F218" s="14" t="str">
        <f>IF(D218="","",IFERROR(VLOOKUP(D218,'Item Master'!$B$3:$G$302,6,0),""))</f>
        <v/>
      </c>
      <c r="G218" s="19"/>
      <c r="H218" s="14"/>
      <c r="I218" s="14"/>
      <c r="J218" s="14"/>
    </row>
    <row r="219" ht="15.75" customHeight="1">
      <c r="A219" s="14" t="str">
        <f t="shared" si="1"/>
        <v/>
      </c>
      <c r="B219" s="24"/>
      <c r="C219" s="14"/>
      <c r="D219" s="14"/>
      <c r="E219" s="14" t="str">
        <f>IF(D219="","",IFERROR(VLOOKUP(D219,'Item Master'!$B$3:$C$302,2,0),"Unknown Code"))</f>
        <v/>
      </c>
      <c r="F219" s="14" t="str">
        <f>IF(D219="","",IFERROR(VLOOKUP(D219,'Item Master'!$B$3:$G$302,6,0),""))</f>
        <v/>
      </c>
      <c r="G219" s="19"/>
      <c r="H219" s="14"/>
      <c r="I219" s="14"/>
      <c r="J219" s="14"/>
    </row>
    <row r="220" ht="15.75" customHeight="1">
      <c r="A220" s="14" t="str">
        <f t="shared" si="1"/>
        <v/>
      </c>
      <c r="B220" s="24"/>
      <c r="C220" s="14"/>
      <c r="D220" s="14"/>
      <c r="E220" s="14" t="str">
        <f>IF(D220="","",IFERROR(VLOOKUP(D220,'Item Master'!$B$3:$C$302,2,0),"Unknown Code"))</f>
        <v/>
      </c>
      <c r="F220" s="14" t="str">
        <f>IF(D220="","",IFERROR(VLOOKUP(D220,'Item Master'!$B$3:$G$302,6,0),""))</f>
        <v/>
      </c>
      <c r="G220" s="19"/>
      <c r="H220" s="14"/>
      <c r="I220" s="14"/>
      <c r="J220" s="14"/>
    </row>
    <row r="221" ht="15.75" customHeight="1">
      <c r="A221" s="14" t="str">
        <f t="shared" si="1"/>
        <v/>
      </c>
      <c r="B221" s="24"/>
      <c r="C221" s="14"/>
      <c r="D221" s="14"/>
      <c r="E221" s="14" t="str">
        <f>IF(D221="","",IFERROR(VLOOKUP(D221,'Item Master'!$B$3:$C$302,2,0),"Unknown Code"))</f>
        <v/>
      </c>
      <c r="F221" s="14" t="str">
        <f>IF(D221="","",IFERROR(VLOOKUP(D221,'Item Master'!$B$3:$G$302,6,0),""))</f>
        <v/>
      </c>
      <c r="G221" s="19"/>
      <c r="H221" s="14"/>
      <c r="I221" s="14"/>
      <c r="J221" s="14"/>
    </row>
    <row r="222" ht="15.75" customHeight="1">
      <c r="A222" s="14" t="str">
        <f t="shared" si="1"/>
        <v/>
      </c>
      <c r="B222" s="24"/>
      <c r="C222" s="14"/>
      <c r="D222" s="14"/>
      <c r="E222" s="14" t="str">
        <f>IF(D222="","",IFERROR(VLOOKUP(D222,'Item Master'!$B$3:$C$302,2,0),"Unknown Code"))</f>
        <v/>
      </c>
      <c r="F222" s="14" t="str">
        <f>IF(D222="","",IFERROR(VLOOKUP(D222,'Item Master'!$B$3:$G$302,6,0),""))</f>
        <v/>
      </c>
      <c r="G222" s="19"/>
      <c r="H222" s="14"/>
      <c r="I222" s="14"/>
      <c r="J222" s="14"/>
    </row>
    <row r="223" ht="15.75" customHeight="1">
      <c r="A223" s="14" t="str">
        <f t="shared" si="1"/>
        <v/>
      </c>
      <c r="B223" s="24"/>
      <c r="C223" s="14"/>
      <c r="D223" s="14"/>
      <c r="E223" s="14" t="str">
        <f>IF(D223="","",IFERROR(VLOOKUP(D223,'Item Master'!$B$3:$C$302,2,0),"Unknown Code"))</f>
        <v/>
      </c>
      <c r="F223" s="14" t="str">
        <f>IF(D223="","",IFERROR(VLOOKUP(D223,'Item Master'!$B$3:$G$302,6,0),""))</f>
        <v/>
      </c>
      <c r="G223" s="19"/>
      <c r="H223" s="14"/>
      <c r="I223" s="14"/>
      <c r="J223" s="14"/>
    </row>
    <row r="224" ht="15.75" customHeight="1">
      <c r="A224" s="14" t="str">
        <f t="shared" si="1"/>
        <v/>
      </c>
      <c r="B224" s="24"/>
      <c r="C224" s="14"/>
      <c r="D224" s="14"/>
      <c r="E224" s="14" t="str">
        <f>IF(D224="","",IFERROR(VLOOKUP(D224,'Item Master'!$B$3:$C$302,2,0),"Unknown Code"))</f>
        <v/>
      </c>
      <c r="F224" s="14" t="str">
        <f>IF(D224="","",IFERROR(VLOOKUP(D224,'Item Master'!$B$3:$G$302,6,0),""))</f>
        <v/>
      </c>
      <c r="G224" s="19"/>
      <c r="H224" s="14"/>
      <c r="I224" s="14"/>
      <c r="J224" s="14"/>
    </row>
    <row r="225" ht="15.75" customHeight="1">
      <c r="A225" s="14" t="str">
        <f t="shared" si="1"/>
        <v/>
      </c>
      <c r="B225" s="24"/>
      <c r="C225" s="14"/>
      <c r="D225" s="14"/>
      <c r="E225" s="14" t="str">
        <f>IF(D225="","",IFERROR(VLOOKUP(D225,'Item Master'!$B$3:$C$302,2,0),"Unknown Code"))</f>
        <v/>
      </c>
      <c r="F225" s="14" t="str">
        <f>IF(D225="","",IFERROR(VLOOKUP(D225,'Item Master'!$B$3:$G$302,6,0),""))</f>
        <v/>
      </c>
      <c r="G225" s="19"/>
      <c r="H225" s="14"/>
      <c r="I225" s="14"/>
      <c r="J225" s="14"/>
    </row>
    <row r="226" ht="15.75" customHeight="1">
      <c r="A226" s="14" t="str">
        <f t="shared" si="1"/>
        <v/>
      </c>
      <c r="B226" s="24"/>
      <c r="C226" s="14"/>
      <c r="D226" s="14"/>
      <c r="E226" s="14" t="str">
        <f>IF(D226="","",IFERROR(VLOOKUP(D226,'Item Master'!$B$3:$C$302,2,0),"Unknown Code"))</f>
        <v/>
      </c>
      <c r="F226" s="14" t="str">
        <f>IF(D226="","",IFERROR(VLOOKUP(D226,'Item Master'!$B$3:$G$302,6,0),""))</f>
        <v/>
      </c>
      <c r="G226" s="19"/>
      <c r="H226" s="14"/>
      <c r="I226" s="14"/>
      <c r="J226" s="14"/>
    </row>
    <row r="227" ht="15.75" customHeight="1">
      <c r="A227" s="14" t="str">
        <f t="shared" si="1"/>
        <v/>
      </c>
      <c r="B227" s="24"/>
      <c r="C227" s="14"/>
      <c r="D227" s="14"/>
      <c r="E227" s="14" t="str">
        <f>IF(D227="","",IFERROR(VLOOKUP(D227,'Item Master'!$B$3:$C$302,2,0),"Unknown Code"))</f>
        <v/>
      </c>
      <c r="F227" s="14" t="str">
        <f>IF(D227="","",IFERROR(VLOOKUP(D227,'Item Master'!$B$3:$G$302,6,0),""))</f>
        <v/>
      </c>
      <c r="G227" s="19"/>
      <c r="H227" s="14"/>
      <c r="I227" s="14"/>
      <c r="J227" s="14"/>
    </row>
    <row r="228" ht="15.75" customHeight="1">
      <c r="A228" s="14" t="str">
        <f t="shared" si="1"/>
        <v/>
      </c>
      <c r="B228" s="24"/>
      <c r="C228" s="14"/>
      <c r="D228" s="14"/>
      <c r="E228" s="14" t="str">
        <f>IF(D228="","",IFERROR(VLOOKUP(D228,'Item Master'!$B$3:$C$302,2,0),"Unknown Code"))</f>
        <v/>
      </c>
      <c r="F228" s="14" t="str">
        <f>IF(D228="","",IFERROR(VLOOKUP(D228,'Item Master'!$B$3:$G$302,6,0),""))</f>
        <v/>
      </c>
      <c r="G228" s="19"/>
      <c r="H228" s="14"/>
      <c r="I228" s="14"/>
      <c r="J228" s="14"/>
    </row>
    <row r="229" ht="15.75" customHeight="1">
      <c r="A229" s="14" t="str">
        <f t="shared" si="1"/>
        <v/>
      </c>
      <c r="B229" s="24"/>
      <c r="C229" s="14"/>
      <c r="D229" s="14"/>
      <c r="E229" s="14" t="str">
        <f>IF(D229="","",IFERROR(VLOOKUP(D229,'Item Master'!$B$3:$C$302,2,0),"Unknown Code"))</f>
        <v/>
      </c>
      <c r="F229" s="14" t="str">
        <f>IF(D229="","",IFERROR(VLOOKUP(D229,'Item Master'!$B$3:$G$302,6,0),""))</f>
        <v/>
      </c>
      <c r="G229" s="19"/>
      <c r="H229" s="14"/>
      <c r="I229" s="14"/>
      <c r="J229" s="14"/>
    </row>
    <row r="230" ht="15.75" customHeight="1">
      <c r="A230" s="14" t="str">
        <f t="shared" si="1"/>
        <v/>
      </c>
      <c r="B230" s="24"/>
      <c r="C230" s="14"/>
      <c r="D230" s="14"/>
      <c r="E230" s="14" t="str">
        <f>IF(D230="","",IFERROR(VLOOKUP(D230,'Item Master'!$B$3:$C$302,2,0),"Unknown Code"))</f>
        <v/>
      </c>
      <c r="F230" s="14" t="str">
        <f>IF(D230="","",IFERROR(VLOOKUP(D230,'Item Master'!$B$3:$G$302,6,0),""))</f>
        <v/>
      </c>
      <c r="G230" s="19"/>
      <c r="H230" s="14"/>
      <c r="I230" s="14"/>
      <c r="J230" s="14"/>
    </row>
    <row r="231" ht="15.75" customHeight="1">
      <c r="A231" s="14" t="str">
        <f t="shared" si="1"/>
        <v/>
      </c>
      <c r="B231" s="24"/>
      <c r="C231" s="14"/>
      <c r="D231" s="14"/>
      <c r="E231" s="14" t="str">
        <f>IF(D231="","",IFERROR(VLOOKUP(D231,'Item Master'!$B$3:$C$302,2,0),"Unknown Code"))</f>
        <v/>
      </c>
      <c r="F231" s="14" t="str">
        <f>IF(D231="","",IFERROR(VLOOKUP(D231,'Item Master'!$B$3:$G$302,6,0),""))</f>
        <v/>
      </c>
      <c r="G231" s="19"/>
      <c r="H231" s="14"/>
      <c r="I231" s="14"/>
      <c r="J231" s="14"/>
    </row>
    <row r="232" ht="15.75" customHeight="1">
      <c r="A232" s="14" t="str">
        <f t="shared" si="1"/>
        <v/>
      </c>
      <c r="B232" s="24"/>
      <c r="C232" s="14"/>
      <c r="D232" s="14"/>
      <c r="E232" s="14" t="str">
        <f>IF(D232="","",IFERROR(VLOOKUP(D232,'Item Master'!$B$3:$C$302,2,0),"Unknown Code"))</f>
        <v/>
      </c>
      <c r="F232" s="14" t="str">
        <f>IF(D232="","",IFERROR(VLOOKUP(D232,'Item Master'!$B$3:$G$302,6,0),""))</f>
        <v/>
      </c>
      <c r="G232" s="19"/>
      <c r="H232" s="14"/>
      <c r="I232" s="14"/>
      <c r="J232" s="14"/>
    </row>
    <row r="233" ht="15.75" customHeight="1">
      <c r="A233" s="14" t="str">
        <f t="shared" si="1"/>
        <v/>
      </c>
      <c r="B233" s="24"/>
      <c r="C233" s="14"/>
      <c r="D233" s="14"/>
      <c r="E233" s="14" t="str">
        <f>IF(D233="","",IFERROR(VLOOKUP(D233,'Item Master'!$B$3:$C$302,2,0),"Unknown Code"))</f>
        <v/>
      </c>
      <c r="F233" s="14" t="str">
        <f>IF(D233="","",IFERROR(VLOOKUP(D233,'Item Master'!$B$3:$G$302,6,0),""))</f>
        <v/>
      </c>
      <c r="G233" s="19"/>
      <c r="H233" s="14"/>
      <c r="I233" s="14"/>
      <c r="J233" s="14"/>
    </row>
    <row r="234" ht="15.75" customHeight="1">
      <c r="A234" s="14" t="str">
        <f t="shared" si="1"/>
        <v/>
      </c>
      <c r="B234" s="24"/>
      <c r="C234" s="14"/>
      <c r="D234" s="14"/>
      <c r="E234" s="14" t="str">
        <f>IF(D234="","",IFERROR(VLOOKUP(D234,'Item Master'!$B$3:$C$302,2,0),"Unknown Code"))</f>
        <v/>
      </c>
      <c r="F234" s="14" t="str">
        <f>IF(D234="","",IFERROR(VLOOKUP(D234,'Item Master'!$B$3:$G$302,6,0),""))</f>
        <v/>
      </c>
      <c r="G234" s="19"/>
      <c r="H234" s="14"/>
      <c r="I234" s="14"/>
      <c r="J234" s="14"/>
    </row>
    <row r="235" ht="15.75" customHeight="1">
      <c r="A235" s="14" t="str">
        <f t="shared" si="1"/>
        <v/>
      </c>
      <c r="B235" s="24"/>
      <c r="C235" s="14"/>
      <c r="D235" s="14"/>
      <c r="E235" s="14" t="str">
        <f>IF(D235="","",IFERROR(VLOOKUP(D235,'Item Master'!$B$3:$C$302,2,0),"Unknown Code"))</f>
        <v/>
      </c>
      <c r="F235" s="14" t="str">
        <f>IF(D235="","",IFERROR(VLOOKUP(D235,'Item Master'!$B$3:$G$302,6,0),""))</f>
        <v/>
      </c>
      <c r="G235" s="19"/>
      <c r="H235" s="14"/>
      <c r="I235" s="14"/>
      <c r="J235" s="14"/>
    </row>
    <row r="236" ht="15.75" customHeight="1">
      <c r="A236" s="14" t="str">
        <f t="shared" si="1"/>
        <v/>
      </c>
      <c r="B236" s="24"/>
      <c r="C236" s="14"/>
      <c r="D236" s="14"/>
      <c r="E236" s="14" t="str">
        <f>IF(D236="","",IFERROR(VLOOKUP(D236,'Item Master'!$B$3:$C$302,2,0),"Unknown Code"))</f>
        <v/>
      </c>
      <c r="F236" s="14" t="str">
        <f>IF(D236="","",IFERROR(VLOOKUP(D236,'Item Master'!$B$3:$G$302,6,0),""))</f>
        <v/>
      </c>
      <c r="G236" s="19"/>
      <c r="H236" s="14"/>
      <c r="I236" s="14"/>
      <c r="J236" s="14"/>
    </row>
    <row r="237" ht="15.75" customHeight="1">
      <c r="A237" s="14" t="str">
        <f t="shared" si="1"/>
        <v/>
      </c>
      <c r="B237" s="24"/>
      <c r="C237" s="14"/>
      <c r="D237" s="14"/>
      <c r="E237" s="14" t="str">
        <f>IF(D237="","",IFERROR(VLOOKUP(D237,'Item Master'!$B$3:$C$302,2,0),"Unknown Code"))</f>
        <v/>
      </c>
      <c r="F237" s="14" t="str">
        <f>IF(D237="","",IFERROR(VLOOKUP(D237,'Item Master'!$B$3:$G$302,6,0),""))</f>
        <v/>
      </c>
      <c r="G237" s="19"/>
      <c r="H237" s="14"/>
      <c r="I237" s="14"/>
      <c r="J237" s="14"/>
    </row>
    <row r="238" ht="15.75" customHeight="1">
      <c r="A238" s="14" t="str">
        <f t="shared" si="1"/>
        <v/>
      </c>
      <c r="B238" s="24"/>
      <c r="C238" s="14"/>
      <c r="D238" s="14"/>
      <c r="E238" s="14" t="str">
        <f>IF(D238="","",IFERROR(VLOOKUP(D238,'Item Master'!$B$3:$C$302,2,0),"Unknown Code"))</f>
        <v/>
      </c>
      <c r="F238" s="14" t="str">
        <f>IF(D238="","",IFERROR(VLOOKUP(D238,'Item Master'!$B$3:$G$302,6,0),""))</f>
        <v/>
      </c>
      <c r="G238" s="19"/>
      <c r="H238" s="14"/>
      <c r="I238" s="14"/>
      <c r="J238" s="14"/>
    </row>
    <row r="239" ht="15.75" customHeight="1">
      <c r="A239" s="14" t="str">
        <f t="shared" si="1"/>
        <v/>
      </c>
      <c r="B239" s="24"/>
      <c r="C239" s="14"/>
      <c r="D239" s="14"/>
      <c r="E239" s="14" t="str">
        <f>IF(D239="","",IFERROR(VLOOKUP(D239,'Item Master'!$B$3:$C$302,2,0),"Unknown Code"))</f>
        <v/>
      </c>
      <c r="F239" s="14" t="str">
        <f>IF(D239="","",IFERROR(VLOOKUP(D239,'Item Master'!$B$3:$G$302,6,0),""))</f>
        <v/>
      </c>
      <c r="G239" s="19"/>
      <c r="H239" s="14"/>
      <c r="I239" s="14"/>
      <c r="J239" s="14"/>
    </row>
    <row r="240" ht="15.75" customHeight="1">
      <c r="A240" s="14" t="str">
        <f t="shared" si="1"/>
        <v/>
      </c>
      <c r="B240" s="24"/>
      <c r="C240" s="14"/>
      <c r="D240" s="14"/>
      <c r="E240" s="14" t="str">
        <f>IF(D240="","",IFERROR(VLOOKUP(D240,'Item Master'!$B$3:$C$302,2,0),"Unknown Code"))</f>
        <v/>
      </c>
      <c r="F240" s="14" t="str">
        <f>IF(D240="","",IFERROR(VLOOKUP(D240,'Item Master'!$B$3:$G$302,6,0),""))</f>
        <v/>
      </c>
      <c r="G240" s="19"/>
      <c r="H240" s="14"/>
      <c r="I240" s="14"/>
      <c r="J240" s="14"/>
    </row>
    <row r="241" ht="15.75" customHeight="1">
      <c r="A241" s="14" t="str">
        <f t="shared" si="1"/>
        <v/>
      </c>
      <c r="B241" s="24"/>
      <c r="C241" s="14"/>
      <c r="D241" s="14"/>
      <c r="E241" s="14" t="str">
        <f>IF(D241="","",IFERROR(VLOOKUP(D241,'Item Master'!$B$3:$C$302,2,0),"Unknown Code"))</f>
        <v/>
      </c>
      <c r="F241" s="14" t="str">
        <f>IF(D241="","",IFERROR(VLOOKUP(D241,'Item Master'!$B$3:$G$302,6,0),""))</f>
        <v/>
      </c>
      <c r="G241" s="19"/>
      <c r="H241" s="14"/>
      <c r="I241" s="14"/>
      <c r="J241" s="14"/>
    </row>
    <row r="242" ht="15.75" customHeight="1">
      <c r="A242" s="14" t="str">
        <f t="shared" si="1"/>
        <v/>
      </c>
      <c r="B242" s="24"/>
      <c r="C242" s="14"/>
      <c r="D242" s="14"/>
      <c r="E242" s="14" t="str">
        <f>IF(D242="","",IFERROR(VLOOKUP(D242,'Item Master'!$B$3:$C$302,2,0),"Unknown Code"))</f>
        <v/>
      </c>
      <c r="F242" s="14" t="str">
        <f>IF(D242="","",IFERROR(VLOOKUP(D242,'Item Master'!$B$3:$G$302,6,0),""))</f>
        <v/>
      </c>
      <c r="G242" s="19"/>
      <c r="H242" s="14"/>
      <c r="I242" s="14"/>
      <c r="J242" s="14"/>
    </row>
    <row r="243" ht="15.75" customHeight="1">
      <c r="A243" s="14" t="str">
        <f t="shared" si="1"/>
        <v/>
      </c>
      <c r="B243" s="24"/>
      <c r="C243" s="14"/>
      <c r="D243" s="14"/>
      <c r="E243" s="14" t="str">
        <f>IF(D243="","",IFERROR(VLOOKUP(D243,'Item Master'!$B$3:$C$302,2,0),"Unknown Code"))</f>
        <v/>
      </c>
      <c r="F243" s="14" t="str">
        <f>IF(D243="","",IFERROR(VLOOKUP(D243,'Item Master'!$B$3:$G$302,6,0),""))</f>
        <v/>
      </c>
      <c r="G243" s="19"/>
      <c r="H243" s="14"/>
      <c r="I243" s="14"/>
      <c r="J243" s="14"/>
    </row>
    <row r="244" ht="15.75" customHeight="1">
      <c r="A244" s="14" t="str">
        <f t="shared" si="1"/>
        <v/>
      </c>
      <c r="B244" s="24"/>
      <c r="C244" s="14"/>
      <c r="D244" s="14"/>
      <c r="E244" s="14" t="str">
        <f>IF(D244="","",IFERROR(VLOOKUP(D244,'Item Master'!$B$3:$C$302,2,0),"Unknown Code"))</f>
        <v/>
      </c>
      <c r="F244" s="14" t="str">
        <f>IF(D244="","",IFERROR(VLOOKUP(D244,'Item Master'!$B$3:$G$302,6,0),""))</f>
        <v/>
      </c>
      <c r="G244" s="19"/>
      <c r="H244" s="14"/>
      <c r="I244" s="14"/>
      <c r="J244" s="14"/>
    </row>
    <row r="245" ht="15.75" customHeight="1">
      <c r="A245" s="14" t="str">
        <f t="shared" si="1"/>
        <v/>
      </c>
      <c r="B245" s="24"/>
      <c r="C245" s="14"/>
      <c r="D245" s="14"/>
      <c r="E245" s="14" t="str">
        <f>IF(D245="","",IFERROR(VLOOKUP(D245,'Item Master'!$B$3:$C$302,2,0),"Unknown Code"))</f>
        <v/>
      </c>
      <c r="F245" s="14" t="str">
        <f>IF(D245="","",IFERROR(VLOOKUP(D245,'Item Master'!$B$3:$G$302,6,0),""))</f>
        <v/>
      </c>
      <c r="G245" s="19"/>
      <c r="H245" s="14"/>
      <c r="I245" s="14"/>
      <c r="J245" s="14"/>
    </row>
    <row r="246" ht="15.75" customHeight="1">
      <c r="A246" s="14" t="str">
        <f t="shared" si="1"/>
        <v/>
      </c>
      <c r="B246" s="24"/>
      <c r="C246" s="14"/>
      <c r="D246" s="14"/>
      <c r="E246" s="14" t="str">
        <f>IF(D246="","",IFERROR(VLOOKUP(D246,'Item Master'!$B$3:$C$302,2,0),"Unknown Code"))</f>
        <v/>
      </c>
      <c r="F246" s="14" t="str">
        <f>IF(D246="","",IFERROR(VLOOKUP(D246,'Item Master'!$B$3:$G$302,6,0),""))</f>
        <v/>
      </c>
      <c r="G246" s="19"/>
      <c r="H246" s="14"/>
      <c r="I246" s="14"/>
      <c r="J246" s="14"/>
    </row>
    <row r="247" ht="15.75" customHeight="1">
      <c r="A247" s="14" t="str">
        <f t="shared" si="1"/>
        <v/>
      </c>
      <c r="B247" s="24"/>
      <c r="C247" s="14"/>
      <c r="D247" s="14"/>
      <c r="E247" s="14" t="str">
        <f>IF(D247="","",IFERROR(VLOOKUP(D247,'Item Master'!$B$3:$C$302,2,0),"Unknown Code"))</f>
        <v/>
      </c>
      <c r="F247" s="14" t="str">
        <f>IF(D247="","",IFERROR(VLOOKUP(D247,'Item Master'!$B$3:$G$302,6,0),""))</f>
        <v/>
      </c>
      <c r="G247" s="19"/>
      <c r="H247" s="14"/>
      <c r="I247" s="14"/>
      <c r="J247" s="14"/>
    </row>
    <row r="248" ht="15.75" customHeight="1">
      <c r="A248" s="14" t="str">
        <f t="shared" si="1"/>
        <v/>
      </c>
      <c r="B248" s="24"/>
      <c r="C248" s="14"/>
      <c r="D248" s="14"/>
      <c r="E248" s="14" t="str">
        <f>IF(D248="","",IFERROR(VLOOKUP(D248,'Item Master'!$B$3:$C$302,2,0),"Unknown Code"))</f>
        <v/>
      </c>
      <c r="F248" s="14" t="str">
        <f>IF(D248="","",IFERROR(VLOOKUP(D248,'Item Master'!$B$3:$G$302,6,0),""))</f>
        <v/>
      </c>
      <c r="G248" s="19"/>
      <c r="H248" s="14"/>
      <c r="I248" s="14"/>
      <c r="J248" s="14"/>
    </row>
    <row r="249" ht="15.75" customHeight="1">
      <c r="A249" s="14" t="str">
        <f t="shared" si="1"/>
        <v/>
      </c>
      <c r="B249" s="24"/>
      <c r="C249" s="14"/>
      <c r="D249" s="14"/>
      <c r="E249" s="14" t="str">
        <f>IF(D249="","",IFERROR(VLOOKUP(D249,'Item Master'!$B$3:$C$302,2,0),"Unknown Code"))</f>
        <v/>
      </c>
      <c r="F249" s="14" t="str">
        <f>IF(D249="","",IFERROR(VLOOKUP(D249,'Item Master'!$B$3:$G$302,6,0),""))</f>
        <v/>
      </c>
      <c r="G249" s="19"/>
      <c r="H249" s="14"/>
      <c r="I249" s="14"/>
      <c r="J249" s="14"/>
    </row>
    <row r="250" ht="15.75" customHeight="1">
      <c r="A250" s="14" t="str">
        <f t="shared" si="1"/>
        <v/>
      </c>
      <c r="B250" s="24"/>
      <c r="C250" s="14"/>
      <c r="D250" s="14"/>
      <c r="E250" s="14" t="str">
        <f>IF(D250="","",IFERROR(VLOOKUP(D250,'Item Master'!$B$3:$C$302,2,0),"Unknown Code"))</f>
        <v/>
      </c>
      <c r="F250" s="14" t="str">
        <f>IF(D250="","",IFERROR(VLOOKUP(D250,'Item Master'!$B$3:$G$302,6,0),""))</f>
        <v/>
      </c>
      <c r="G250" s="19"/>
      <c r="H250" s="14"/>
      <c r="I250" s="14"/>
      <c r="J250" s="14"/>
    </row>
    <row r="251" ht="15.75" customHeight="1">
      <c r="A251" s="14" t="str">
        <f t="shared" si="1"/>
        <v/>
      </c>
      <c r="B251" s="24"/>
      <c r="C251" s="14"/>
      <c r="D251" s="14"/>
      <c r="E251" s="14" t="str">
        <f>IF(D251="","",IFERROR(VLOOKUP(D251,'Item Master'!$B$3:$C$302,2,0),"Unknown Code"))</f>
        <v/>
      </c>
      <c r="F251" s="14" t="str">
        <f>IF(D251="","",IFERROR(VLOOKUP(D251,'Item Master'!$B$3:$G$302,6,0),""))</f>
        <v/>
      </c>
      <c r="G251" s="19"/>
      <c r="H251" s="14"/>
      <c r="I251" s="14"/>
      <c r="J251" s="14"/>
    </row>
    <row r="252" ht="15.75" customHeight="1">
      <c r="A252" s="14" t="str">
        <f t="shared" si="1"/>
        <v/>
      </c>
      <c r="B252" s="24"/>
      <c r="C252" s="14"/>
      <c r="D252" s="14"/>
      <c r="E252" s="14" t="str">
        <f>IF(D252="","",IFERROR(VLOOKUP(D252,'Item Master'!$B$3:$C$302,2,0),"Unknown Code"))</f>
        <v/>
      </c>
      <c r="F252" s="14" t="str">
        <f>IF(D252="","",IFERROR(VLOOKUP(D252,'Item Master'!$B$3:$G$302,6,0),""))</f>
        <v/>
      </c>
      <c r="G252" s="19"/>
      <c r="H252" s="14"/>
      <c r="I252" s="14"/>
      <c r="J252" s="14"/>
    </row>
    <row r="253" ht="15.75" customHeight="1">
      <c r="A253" s="14" t="str">
        <f t="shared" si="1"/>
        <v/>
      </c>
      <c r="B253" s="24"/>
      <c r="C253" s="14"/>
      <c r="D253" s="14"/>
      <c r="E253" s="14" t="str">
        <f>IF(D253="","",IFERROR(VLOOKUP(D253,'Item Master'!$B$3:$C$302,2,0),"Unknown Code"))</f>
        <v/>
      </c>
      <c r="F253" s="14" t="str">
        <f>IF(D253="","",IFERROR(VLOOKUP(D253,'Item Master'!$B$3:$G$302,6,0),""))</f>
        <v/>
      </c>
      <c r="G253" s="19"/>
      <c r="H253" s="14"/>
      <c r="I253" s="14"/>
      <c r="J253" s="14"/>
    </row>
    <row r="254" ht="15.75" customHeight="1">
      <c r="A254" s="14" t="str">
        <f t="shared" si="1"/>
        <v/>
      </c>
      <c r="B254" s="24"/>
      <c r="C254" s="14"/>
      <c r="D254" s="14"/>
      <c r="E254" s="14" t="str">
        <f>IF(D254="","",IFERROR(VLOOKUP(D254,'Item Master'!$B$3:$C$302,2,0),"Unknown Code"))</f>
        <v/>
      </c>
      <c r="F254" s="14" t="str">
        <f>IF(D254="","",IFERROR(VLOOKUP(D254,'Item Master'!$B$3:$G$302,6,0),""))</f>
        <v/>
      </c>
      <c r="G254" s="19"/>
      <c r="H254" s="14"/>
      <c r="I254" s="14"/>
      <c r="J254" s="14"/>
    </row>
    <row r="255" ht="15.75" customHeight="1">
      <c r="A255" s="14" t="str">
        <f t="shared" si="1"/>
        <v/>
      </c>
      <c r="B255" s="24"/>
      <c r="C255" s="14"/>
      <c r="D255" s="14"/>
      <c r="E255" s="14" t="str">
        <f>IF(D255="","",IFERROR(VLOOKUP(D255,'Item Master'!$B$3:$C$302,2,0),"Unknown Code"))</f>
        <v/>
      </c>
      <c r="F255" s="14" t="str">
        <f>IF(D255="","",IFERROR(VLOOKUP(D255,'Item Master'!$B$3:$G$302,6,0),""))</f>
        <v/>
      </c>
      <c r="G255" s="19"/>
      <c r="H255" s="14"/>
      <c r="I255" s="14"/>
      <c r="J255" s="14"/>
    </row>
    <row r="256" ht="15.75" customHeight="1">
      <c r="A256" s="14" t="str">
        <f t="shared" si="1"/>
        <v/>
      </c>
      <c r="B256" s="24"/>
      <c r="C256" s="14"/>
      <c r="D256" s="14"/>
      <c r="E256" s="14" t="str">
        <f>IF(D256="","",IFERROR(VLOOKUP(D256,'Item Master'!$B$3:$C$302,2,0),"Unknown Code"))</f>
        <v/>
      </c>
      <c r="F256" s="14" t="str">
        <f>IF(D256="","",IFERROR(VLOOKUP(D256,'Item Master'!$B$3:$G$302,6,0),""))</f>
        <v/>
      </c>
      <c r="G256" s="19"/>
      <c r="H256" s="14"/>
      <c r="I256" s="14"/>
      <c r="J256" s="14"/>
    </row>
    <row r="257" ht="15.75" customHeight="1">
      <c r="A257" s="14" t="str">
        <f t="shared" si="1"/>
        <v/>
      </c>
      <c r="B257" s="24"/>
      <c r="C257" s="14"/>
      <c r="D257" s="14"/>
      <c r="E257" s="14" t="str">
        <f>IF(D257="","",IFERROR(VLOOKUP(D257,'Item Master'!$B$3:$C$302,2,0),"Unknown Code"))</f>
        <v/>
      </c>
      <c r="F257" s="14" t="str">
        <f>IF(D257="","",IFERROR(VLOOKUP(D257,'Item Master'!$B$3:$G$302,6,0),""))</f>
        <v/>
      </c>
      <c r="G257" s="19"/>
      <c r="H257" s="14"/>
      <c r="I257" s="14"/>
      <c r="J257" s="14"/>
    </row>
    <row r="258" ht="15.75" customHeight="1">
      <c r="A258" s="14" t="str">
        <f t="shared" si="1"/>
        <v/>
      </c>
      <c r="B258" s="24"/>
      <c r="C258" s="14"/>
      <c r="D258" s="14"/>
      <c r="E258" s="14" t="str">
        <f>IF(D258="","",IFERROR(VLOOKUP(D258,'Item Master'!$B$3:$C$302,2,0),"Unknown Code"))</f>
        <v/>
      </c>
      <c r="F258" s="14" t="str">
        <f>IF(D258="","",IFERROR(VLOOKUP(D258,'Item Master'!$B$3:$G$302,6,0),""))</f>
        <v/>
      </c>
      <c r="G258" s="19"/>
      <c r="H258" s="14"/>
      <c r="I258" s="14"/>
      <c r="J258" s="14"/>
    </row>
    <row r="259" ht="15.75" customHeight="1">
      <c r="A259" s="14" t="str">
        <f t="shared" si="1"/>
        <v/>
      </c>
      <c r="B259" s="24"/>
      <c r="C259" s="14"/>
      <c r="D259" s="14"/>
      <c r="E259" s="14" t="str">
        <f>IF(D259="","",IFERROR(VLOOKUP(D259,'Item Master'!$B$3:$C$302,2,0),"Unknown Code"))</f>
        <v/>
      </c>
      <c r="F259" s="14" t="str">
        <f>IF(D259="","",IFERROR(VLOOKUP(D259,'Item Master'!$B$3:$G$302,6,0),""))</f>
        <v/>
      </c>
      <c r="G259" s="19"/>
      <c r="H259" s="14"/>
      <c r="I259" s="14"/>
      <c r="J259" s="14"/>
    </row>
    <row r="260" ht="15.75" customHeight="1">
      <c r="A260" s="14" t="str">
        <f t="shared" si="1"/>
        <v/>
      </c>
      <c r="B260" s="24"/>
      <c r="C260" s="14"/>
      <c r="D260" s="14"/>
      <c r="E260" s="14" t="str">
        <f>IF(D260="","",IFERROR(VLOOKUP(D260,'Item Master'!$B$3:$C$302,2,0),"Unknown Code"))</f>
        <v/>
      </c>
      <c r="F260" s="14" t="str">
        <f>IF(D260="","",IFERROR(VLOOKUP(D260,'Item Master'!$B$3:$G$302,6,0),""))</f>
        <v/>
      </c>
      <c r="G260" s="19"/>
      <c r="H260" s="14"/>
      <c r="I260" s="14"/>
      <c r="J260" s="14"/>
    </row>
    <row r="261" ht="15.75" customHeight="1">
      <c r="A261" s="14" t="str">
        <f t="shared" si="1"/>
        <v/>
      </c>
      <c r="B261" s="24"/>
      <c r="C261" s="14"/>
      <c r="D261" s="14"/>
      <c r="E261" s="14" t="str">
        <f>IF(D261="","",IFERROR(VLOOKUP(D261,'Item Master'!$B$3:$C$302,2,0),"Unknown Code"))</f>
        <v/>
      </c>
      <c r="F261" s="14" t="str">
        <f>IF(D261="","",IFERROR(VLOOKUP(D261,'Item Master'!$B$3:$G$302,6,0),""))</f>
        <v/>
      </c>
      <c r="G261" s="19"/>
      <c r="H261" s="14"/>
      <c r="I261" s="14"/>
      <c r="J261" s="14"/>
    </row>
    <row r="262" ht="15.75" customHeight="1">
      <c r="A262" s="14" t="str">
        <f t="shared" si="1"/>
        <v/>
      </c>
      <c r="B262" s="24"/>
      <c r="C262" s="14"/>
      <c r="D262" s="14"/>
      <c r="E262" s="14" t="str">
        <f>IF(D262="","",IFERROR(VLOOKUP(D262,'Item Master'!$B$3:$C$302,2,0),"Unknown Code"))</f>
        <v/>
      </c>
      <c r="F262" s="14" t="str">
        <f>IF(D262="","",IFERROR(VLOOKUP(D262,'Item Master'!$B$3:$G$302,6,0),""))</f>
        <v/>
      </c>
      <c r="G262" s="19"/>
      <c r="H262" s="14"/>
      <c r="I262" s="14"/>
      <c r="J262" s="14"/>
    </row>
    <row r="263" ht="15.75" customHeight="1">
      <c r="A263" s="14" t="str">
        <f t="shared" si="1"/>
        <v/>
      </c>
      <c r="B263" s="24"/>
      <c r="C263" s="14"/>
      <c r="D263" s="14"/>
      <c r="E263" s="14" t="str">
        <f>IF(D263="","",IFERROR(VLOOKUP(D263,'Item Master'!$B$3:$C$302,2,0),"Unknown Code"))</f>
        <v/>
      </c>
      <c r="F263" s="14" t="str">
        <f>IF(D263="","",IFERROR(VLOOKUP(D263,'Item Master'!$B$3:$G$302,6,0),""))</f>
        <v/>
      </c>
      <c r="G263" s="19"/>
      <c r="H263" s="14"/>
      <c r="I263" s="14"/>
      <c r="J263" s="14"/>
    </row>
    <row r="264" ht="15.75" customHeight="1">
      <c r="A264" s="14" t="str">
        <f t="shared" si="1"/>
        <v/>
      </c>
      <c r="B264" s="24"/>
      <c r="C264" s="14"/>
      <c r="D264" s="14"/>
      <c r="E264" s="14" t="str">
        <f>IF(D264="","",IFERROR(VLOOKUP(D264,'Item Master'!$B$3:$C$302,2,0),"Unknown Code"))</f>
        <v/>
      </c>
      <c r="F264" s="14" t="str">
        <f>IF(D264="","",IFERROR(VLOOKUP(D264,'Item Master'!$B$3:$G$302,6,0),""))</f>
        <v/>
      </c>
      <c r="G264" s="19"/>
      <c r="H264" s="14"/>
      <c r="I264" s="14"/>
      <c r="J264" s="14"/>
    </row>
    <row r="265" ht="15.75" customHeight="1">
      <c r="A265" s="14" t="str">
        <f t="shared" si="1"/>
        <v/>
      </c>
      <c r="B265" s="24"/>
      <c r="C265" s="14"/>
      <c r="D265" s="14"/>
      <c r="E265" s="14" t="str">
        <f>IF(D265="","",IFERROR(VLOOKUP(D265,'Item Master'!$B$3:$C$302,2,0),"Unknown Code"))</f>
        <v/>
      </c>
      <c r="F265" s="14" t="str">
        <f>IF(D265="","",IFERROR(VLOOKUP(D265,'Item Master'!$B$3:$G$302,6,0),""))</f>
        <v/>
      </c>
      <c r="G265" s="19"/>
      <c r="H265" s="14"/>
      <c r="I265" s="14"/>
      <c r="J265" s="14"/>
    </row>
    <row r="266" ht="15.75" customHeight="1">
      <c r="A266" s="14" t="str">
        <f t="shared" si="1"/>
        <v/>
      </c>
      <c r="B266" s="24"/>
      <c r="C266" s="14"/>
      <c r="D266" s="14"/>
      <c r="E266" s="14" t="str">
        <f>IF(D266="","",IFERROR(VLOOKUP(D266,'Item Master'!$B$3:$C$302,2,0),"Unknown Code"))</f>
        <v/>
      </c>
      <c r="F266" s="14" t="str">
        <f>IF(D266="","",IFERROR(VLOOKUP(D266,'Item Master'!$B$3:$G$302,6,0),""))</f>
        <v/>
      </c>
      <c r="G266" s="19"/>
      <c r="H266" s="14"/>
      <c r="I266" s="14"/>
      <c r="J266" s="14"/>
    </row>
    <row r="267" ht="15.75" customHeight="1">
      <c r="A267" s="14" t="str">
        <f t="shared" si="1"/>
        <v/>
      </c>
      <c r="B267" s="24"/>
      <c r="C267" s="14"/>
      <c r="D267" s="14"/>
      <c r="E267" s="14" t="str">
        <f>IF(D267="","",IFERROR(VLOOKUP(D267,'Item Master'!$B$3:$C$302,2,0),"Unknown Code"))</f>
        <v/>
      </c>
      <c r="F267" s="14" t="str">
        <f>IF(D267="","",IFERROR(VLOOKUP(D267,'Item Master'!$B$3:$G$302,6,0),""))</f>
        <v/>
      </c>
      <c r="G267" s="19"/>
      <c r="H267" s="14"/>
      <c r="I267" s="14"/>
      <c r="J267" s="14"/>
    </row>
    <row r="268" ht="15.75" customHeight="1">
      <c r="A268" s="14" t="str">
        <f t="shared" si="1"/>
        <v/>
      </c>
      <c r="B268" s="24"/>
      <c r="C268" s="14"/>
      <c r="D268" s="14"/>
      <c r="E268" s="14" t="str">
        <f>IF(D268="","",IFERROR(VLOOKUP(D268,'Item Master'!$B$3:$C$302,2,0),"Unknown Code"))</f>
        <v/>
      </c>
      <c r="F268" s="14" t="str">
        <f>IF(D268="","",IFERROR(VLOOKUP(D268,'Item Master'!$B$3:$G$302,6,0),""))</f>
        <v/>
      </c>
      <c r="G268" s="19"/>
      <c r="H268" s="14"/>
      <c r="I268" s="14"/>
      <c r="J268" s="14"/>
    </row>
    <row r="269" ht="15.75" customHeight="1">
      <c r="A269" s="14" t="str">
        <f t="shared" si="1"/>
        <v/>
      </c>
      <c r="B269" s="24"/>
      <c r="C269" s="14"/>
      <c r="D269" s="14"/>
      <c r="E269" s="14" t="str">
        <f>IF(D269="","",IFERROR(VLOOKUP(D269,'Item Master'!$B$3:$C$302,2,0),"Unknown Code"))</f>
        <v/>
      </c>
      <c r="F269" s="14" t="str">
        <f>IF(D269="","",IFERROR(VLOOKUP(D269,'Item Master'!$B$3:$G$302,6,0),""))</f>
        <v/>
      </c>
      <c r="G269" s="19"/>
      <c r="H269" s="14"/>
      <c r="I269" s="14"/>
      <c r="J269" s="14"/>
    </row>
    <row r="270" ht="15.75" customHeight="1">
      <c r="A270" s="14" t="str">
        <f t="shared" si="1"/>
        <v/>
      </c>
      <c r="B270" s="24"/>
      <c r="C270" s="14"/>
      <c r="D270" s="14"/>
      <c r="E270" s="14" t="str">
        <f>IF(D270="","",IFERROR(VLOOKUP(D270,'Item Master'!$B$3:$C$302,2,0),"Unknown Code"))</f>
        <v/>
      </c>
      <c r="F270" s="14" t="str">
        <f>IF(D270="","",IFERROR(VLOOKUP(D270,'Item Master'!$B$3:$G$302,6,0),""))</f>
        <v/>
      </c>
      <c r="G270" s="19"/>
      <c r="H270" s="14"/>
      <c r="I270" s="14"/>
      <c r="J270" s="14"/>
    </row>
    <row r="271" ht="15.75" customHeight="1">
      <c r="A271" s="14" t="str">
        <f t="shared" si="1"/>
        <v/>
      </c>
      <c r="B271" s="24"/>
      <c r="C271" s="14"/>
      <c r="D271" s="14"/>
      <c r="E271" s="14" t="str">
        <f>IF(D271="","",IFERROR(VLOOKUP(D271,'Item Master'!$B$3:$C$302,2,0),"Unknown Code"))</f>
        <v/>
      </c>
      <c r="F271" s="14" t="str">
        <f>IF(D271="","",IFERROR(VLOOKUP(D271,'Item Master'!$B$3:$G$302,6,0),""))</f>
        <v/>
      </c>
      <c r="G271" s="19"/>
      <c r="H271" s="14"/>
      <c r="I271" s="14"/>
      <c r="J271" s="14"/>
    </row>
    <row r="272" ht="15.75" customHeight="1">
      <c r="A272" s="14" t="str">
        <f t="shared" si="1"/>
        <v/>
      </c>
      <c r="B272" s="24"/>
      <c r="C272" s="14"/>
      <c r="D272" s="14"/>
      <c r="E272" s="14" t="str">
        <f>IF(D272="","",IFERROR(VLOOKUP(D272,'Item Master'!$B$3:$C$302,2,0),"Unknown Code"))</f>
        <v/>
      </c>
      <c r="F272" s="14" t="str">
        <f>IF(D272="","",IFERROR(VLOOKUP(D272,'Item Master'!$B$3:$G$302,6,0),""))</f>
        <v/>
      </c>
      <c r="G272" s="19"/>
      <c r="H272" s="14"/>
      <c r="I272" s="14"/>
      <c r="J272" s="14"/>
    </row>
    <row r="273" ht="15.75" customHeight="1">
      <c r="A273" s="14" t="str">
        <f t="shared" si="1"/>
        <v/>
      </c>
      <c r="B273" s="24"/>
      <c r="C273" s="14"/>
      <c r="D273" s="14"/>
      <c r="E273" s="14" t="str">
        <f>IF(D273="","",IFERROR(VLOOKUP(D273,'Item Master'!$B$3:$C$302,2,0),"Unknown Code"))</f>
        <v/>
      </c>
      <c r="F273" s="14" t="str">
        <f>IF(D273="","",IFERROR(VLOOKUP(D273,'Item Master'!$B$3:$G$302,6,0),""))</f>
        <v/>
      </c>
      <c r="G273" s="19"/>
      <c r="H273" s="14"/>
      <c r="I273" s="14"/>
      <c r="J273" s="14"/>
    </row>
    <row r="274" ht="15.75" customHeight="1">
      <c r="A274" s="14" t="str">
        <f t="shared" si="1"/>
        <v/>
      </c>
      <c r="B274" s="24"/>
      <c r="C274" s="14"/>
      <c r="D274" s="14"/>
      <c r="E274" s="14" t="str">
        <f>IF(D274="","",IFERROR(VLOOKUP(D274,'Item Master'!$B$3:$C$302,2,0),"Unknown Code"))</f>
        <v/>
      </c>
      <c r="F274" s="14" t="str">
        <f>IF(D274="","",IFERROR(VLOOKUP(D274,'Item Master'!$B$3:$G$302,6,0),""))</f>
        <v/>
      </c>
      <c r="G274" s="19"/>
      <c r="H274" s="14"/>
      <c r="I274" s="14"/>
      <c r="J274" s="14"/>
    </row>
    <row r="275" ht="15.75" customHeight="1">
      <c r="A275" s="14" t="str">
        <f t="shared" si="1"/>
        <v/>
      </c>
      <c r="B275" s="24"/>
      <c r="C275" s="14"/>
      <c r="D275" s="14"/>
      <c r="E275" s="14" t="str">
        <f>IF(D275="","",IFERROR(VLOOKUP(D275,'Item Master'!$B$3:$C$302,2,0),"Unknown Code"))</f>
        <v/>
      </c>
      <c r="F275" s="14" t="str">
        <f>IF(D275="","",IFERROR(VLOOKUP(D275,'Item Master'!$B$3:$G$302,6,0),""))</f>
        <v/>
      </c>
      <c r="G275" s="19"/>
      <c r="H275" s="14"/>
      <c r="I275" s="14"/>
      <c r="J275" s="14"/>
    </row>
    <row r="276" ht="15.75" customHeight="1">
      <c r="A276" s="14" t="str">
        <f t="shared" si="1"/>
        <v/>
      </c>
      <c r="B276" s="24"/>
      <c r="C276" s="14"/>
      <c r="D276" s="14"/>
      <c r="E276" s="14" t="str">
        <f>IF(D276="","",IFERROR(VLOOKUP(D276,'Item Master'!$B$3:$C$302,2,0),"Unknown Code"))</f>
        <v/>
      </c>
      <c r="F276" s="14" t="str">
        <f>IF(D276="","",IFERROR(VLOOKUP(D276,'Item Master'!$B$3:$G$302,6,0),""))</f>
        <v/>
      </c>
      <c r="G276" s="19"/>
      <c r="H276" s="14"/>
      <c r="I276" s="14"/>
      <c r="J276" s="14"/>
    </row>
    <row r="277" ht="15.75" customHeight="1">
      <c r="A277" s="14" t="str">
        <f t="shared" si="1"/>
        <v/>
      </c>
      <c r="B277" s="24"/>
      <c r="C277" s="14"/>
      <c r="D277" s="14"/>
      <c r="E277" s="14" t="str">
        <f>IF(D277="","",IFERROR(VLOOKUP(D277,'Item Master'!$B$3:$C$302,2,0),"Unknown Code"))</f>
        <v/>
      </c>
      <c r="F277" s="14" t="str">
        <f>IF(D277="","",IFERROR(VLOOKUP(D277,'Item Master'!$B$3:$G$302,6,0),""))</f>
        <v/>
      </c>
      <c r="G277" s="19"/>
      <c r="H277" s="14"/>
      <c r="I277" s="14"/>
      <c r="J277" s="14"/>
    </row>
    <row r="278" ht="15.75" customHeight="1">
      <c r="A278" s="14" t="str">
        <f t="shared" si="1"/>
        <v/>
      </c>
      <c r="B278" s="24"/>
      <c r="C278" s="14"/>
      <c r="D278" s="14"/>
      <c r="E278" s="14" t="str">
        <f>IF(D278="","",IFERROR(VLOOKUP(D278,'Item Master'!$B$3:$C$302,2,0),"Unknown Code"))</f>
        <v/>
      </c>
      <c r="F278" s="14" t="str">
        <f>IF(D278="","",IFERROR(VLOOKUP(D278,'Item Master'!$B$3:$G$302,6,0),""))</f>
        <v/>
      </c>
      <c r="G278" s="19"/>
      <c r="H278" s="14"/>
      <c r="I278" s="14"/>
      <c r="J278" s="14"/>
    </row>
    <row r="279" ht="15.75" customHeight="1">
      <c r="A279" s="14" t="str">
        <f t="shared" si="1"/>
        <v/>
      </c>
      <c r="B279" s="24"/>
      <c r="C279" s="14"/>
      <c r="D279" s="14"/>
      <c r="E279" s="14" t="str">
        <f>IF(D279="","",IFERROR(VLOOKUP(D279,'Item Master'!$B$3:$C$302,2,0),"Unknown Code"))</f>
        <v/>
      </c>
      <c r="F279" s="14" t="str">
        <f>IF(D279="","",IFERROR(VLOOKUP(D279,'Item Master'!$B$3:$G$302,6,0),""))</f>
        <v/>
      </c>
      <c r="G279" s="19"/>
      <c r="H279" s="14"/>
      <c r="I279" s="14"/>
      <c r="J279" s="14"/>
    </row>
    <row r="280" ht="15.75" customHeight="1">
      <c r="A280" s="14" t="str">
        <f t="shared" si="1"/>
        <v/>
      </c>
      <c r="B280" s="24"/>
      <c r="C280" s="14"/>
      <c r="D280" s="14"/>
      <c r="E280" s="14" t="str">
        <f>IF(D280="","",IFERROR(VLOOKUP(D280,'Item Master'!$B$3:$C$302,2,0),"Unknown Code"))</f>
        <v/>
      </c>
      <c r="F280" s="14" t="str">
        <f>IF(D280="","",IFERROR(VLOOKUP(D280,'Item Master'!$B$3:$G$302,6,0),""))</f>
        <v/>
      </c>
      <c r="G280" s="19"/>
      <c r="H280" s="14"/>
      <c r="I280" s="14"/>
      <c r="J280" s="14"/>
    </row>
    <row r="281" ht="15.75" customHeight="1">
      <c r="A281" s="14" t="str">
        <f t="shared" si="1"/>
        <v/>
      </c>
      <c r="B281" s="24"/>
      <c r="C281" s="14"/>
      <c r="D281" s="14"/>
      <c r="E281" s="14" t="str">
        <f>IF(D281="","",IFERROR(VLOOKUP(D281,'Item Master'!$B$3:$C$302,2,0),"Unknown Code"))</f>
        <v/>
      </c>
      <c r="F281" s="14" t="str">
        <f>IF(D281="","",IFERROR(VLOOKUP(D281,'Item Master'!$B$3:$G$302,6,0),""))</f>
        <v/>
      </c>
      <c r="G281" s="19"/>
      <c r="H281" s="14"/>
      <c r="I281" s="14"/>
      <c r="J281" s="14"/>
    </row>
    <row r="282" ht="15.75" customHeight="1">
      <c r="A282" s="14" t="str">
        <f t="shared" si="1"/>
        <v/>
      </c>
      <c r="B282" s="24"/>
      <c r="C282" s="14"/>
      <c r="D282" s="14"/>
      <c r="E282" s="14" t="str">
        <f>IF(D282="","",IFERROR(VLOOKUP(D282,'Item Master'!$B$3:$C$302,2,0),"Unknown Code"))</f>
        <v/>
      </c>
      <c r="F282" s="14" t="str">
        <f>IF(D282="","",IFERROR(VLOOKUP(D282,'Item Master'!$B$3:$G$302,6,0),""))</f>
        <v/>
      </c>
      <c r="G282" s="19"/>
      <c r="H282" s="14"/>
      <c r="I282" s="14"/>
      <c r="J282" s="14"/>
    </row>
    <row r="283" ht="15.75" customHeight="1">
      <c r="A283" s="14" t="str">
        <f t="shared" si="1"/>
        <v/>
      </c>
      <c r="B283" s="24"/>
      <c r="C283" s="14"/>
      <c r="D283" s="14"/>
      <c r="E283" s="14" t="str">
        <f>IF(D283="","",IFERROR(VLOOKUP(D283,'Item Master'!$B$3:$C$302,2,0),"Unknown Code"))</f>
        <v/>
      </c>
      <c r="F283" s="14" t="str">
        <f>IF(D283="","",IFERROR(VLOOKUP(D283,'Item Master'!$B$3:$G$302,6,0),""))</f>
        <v/>
      </c>
      <c r="G283" s="19"/>
      <c r="H283" s="14"/>
      <c r="I283" s="14"/>
      <c r="J283" s="14"/>
    </row>
    <row r="284" ht="15.75" customHeight="1">
      <c r="A284" s="14" t="str">
        <f t="shared" si="1"/>
        <v/>
      </c>
      <c r="B284" s="24"/>
      <c r="C284" s="14"/>
      <c r="D284" s="14"/>
      <c r="E284" s="14" t="str">
        <f>IF(D284="","",IFERROR(VLOOKUP(D284,'Item Master'!$B$3:$C$302,2,0),"Unknown Code"))</f>
        <v/>
      </c>
      <c r="F284" s="14" t="str">
        <f>IF(D284="","",IFERROR(VLOOKUP(D284,'Item Master'!$B$3:$G$302,6,0),""))</f>
        <v/>
      </c>
      <c r="G284" s="19"/>
      <c r="H284" s="14"/>
      <c r="I284" s="14"/>
      <c r="J284" s="14"/>
    </row>
    <row r="285" ht="15.75" customHeight="1">
      <c r="A285" s="14" t="str">
        <f t="shared" si="1"/>
        <v/>
      </c>
      <c r="B285" s="24"/>
      <c r="C285" s="14"/>
      <c r="D285" s="14"/>
      <c r="E285" s="14" t="str">
        <f>IF(D285="","",IFERROR(VLOOKUP(D285,'Item Master'!$B$3:$C$302,2,0),"Unknown Code"))</f>
        <v/>
      </c>
      <c r="F285" s="14" t="str">
        <f>IF(D285="","",IFERROR(VLOOKUP(D285,'Item Master'!$B$3:$G$302,6,0),""))</f>
        <v/>
      </c>
      <c r="G285" s="19"/>
      <c r="H285" s="14"/>
      <c r="I285" s="14"/>
      <c r="J285" s="14"/>
    </row>
    <row r="286" ht="15.75" customHeight="1">
      <c r="A286" s="14" t="str">
        <f t="shared" si="1"/>
        <v/>
      </c>
      <c r="B286" s="24"/>
      <c r="C286" s="14"/>
      <c r="D286" s="14"/>
      <c r="E286" s="14" t="str">
        <f>IF(D286="","",IFERROR(VLOOKUP(D286,'Item Master'!$B$3:$C$302,2,0),"Unknown Code"))</f>
        <v/>
      </c>
      <c r="F286" s="14" t="str">
        <f>IF(D286="","",IFERROR(VLOOKUP(D286,'Item Master'!$B$3:$G$302,6,0),""))</f>
        <v/>
      </c>
      <c r="G286" s="19"/>
      <c r="H286" s="14"/>
      <c r="I286" s="14"/>
      <c r="J286" s="14"/>
    </row>
    <row r="287" ht="15.75" customHeight="1">
      <c r="A287" s="14" t="str">
        <f t="shared" si="1"/>
        <v/>
      </c>
      <c r="B287" s="24"/>
      <c r="C287" s="14"/>
      <c r="D287" s="14"/>
      <c r="E287" s="14" t="str">
        <f>IF(D287="","",IFERROR(VLOOKUP(D287,'Item Master'!$B$3:$C$302,2,0),"Unknown Code"))</f>
        <v/>
      </c>
      <c r="F287" s="14" t="str">
        <f>IF(D287="","",IFERROR(VLOOKUP(D287,'Item Master'!$B$3:$G$302,6,0),""))</f>
        <v/>
      </c>
      <c r="G287" s="19"/>
      <c r="H287" s="14"/>
      <c r="I287" s="14"/>
      <c r="J287" s="14"/>
    </row>
    <row r="288" ht="15.75" customHeight="1">
      <c r="A288" s="14" t="str">
        <f t="shared" si="1"/>
        <v/>
      </c>
      <c r="B288" s="24"/>
      <c r="C288" s="14"/>
      <c r="D288" s="14"/>
      <c r="E288" s="14" t="str">
        <f>IF(D288="","",IFERROR(VLOOKUP(D288,'Item Master'!$B$3:$C$302,2,0),"Unknown Code"))</f>
        <v/>
      </c>
      <c r="F288" s="14" t="str">
        <f>IF(D288="","",IFERROR(VLOOKUP(D288,'Item Master'!$B$3:$G$302,6,0),""))</f>
        <v/>
      </c>
      <c r="G288" s="19"/>
      <c r="H288" s="14"/>
      <c r="I288" s="14"/>
      <c r="J288" s="14"/>
    </row>
    <row r="289" ht="15.75" customHeight="1">
      <c r="A289" s="14" t="str">
        <f t="shared" si="1"/>
        <v/>
      </c>
      <c r="B289" s="24"/>
      <c r="C289" s="14"/>
      <c r="D289" s="14"/>
      <c r="E289" s="14" t="str">
        <f>IF(D289="","",IFERROR(VLOOKUP(D289,'Item Master'!$B$3:$C$302,2,0),"Unknown Code"))</f>
        <v/>
      </c>
      <c r="F289" s="14" t="str">
        <f>IF(D289="","",IFERROR(VLOOKUP(D289,'Item Master'!$B$3:$G$302,6,0),""))</f>
        <v/>
      </c>
      <c r="G289" s="19"/>
      <c r="H289" s="14"/>
      <c r="I289" s="14"/>
      <c r="J289" s="14"/>
    </row>
    <row r="290" ht="15.75" customHeight="1">
      <c r="A290" s="14" t="str">
        <f t="shared" si="1"/>
        <v/>
      </c>
      <c r="B290" s="24"/>
      <c r="C290" s="14"/>
      <c r="D290" s="14"/>
      <c r="E290" s="14" t="str">
        <f>IF(D290="","",IFERROR(VLOOKUP(D290,'Item Master'!$B$3:$C$302,2,0),"Unknown Code"))</f>
        <v/>
      </c>
      <c r="F290" s="14" t="str">
        <f>IF(D290="","",IFERROR(VLOOKUP(D290,'Item Master'!$B$3:$G$302,6,0),""))</f>
        <v/>
      </c>
      <c r="G290" s="19"/>
      <c r="H290" s="14"/>
      <c r="I290" s="14"/>
      <c r="J290" s="14"/>
    </row>
    <row r="291" ht="15.75" customHeight="1">
      <c r="A291" s="14" t="str">
        <f t="shared" si="1"/>
        <v/>
      </c>
      <c r="B291" s="24"/>
      <c r="C291" s="14"/>
      <c r="D291" s="14"/>
      <c r="E291" s="14" t="str">
        <f>IF(D291="","",IFERROR(VLOOKUP(D291,'Item Master'!$B$3:$C$302,2,0),"Unknown Code"))</f>
        <v/>
      </c>
      <c r="F291" s="14" t="str">
        <f>IF(D291="","",IFERROR(VLOOKUP(D291,'Item Master'!$B$3:$G$302,6,0),""))</f>
        <v/>
      </c>
      <c r="G291" s="19"/>
      <c r="H291" s="14"/>
      <c r="I291" s="14"/>
      <c r="J291" s="14"/>
    </row>
    <row r="292" ht="15.75" customHeight="1">
      <c r="A292" s="14" t="str">
        <f t="shared" si="1"/>
        <v/>
      </c>
      <c r="B292" s="24"/>
      <c r="C292" s="14"/>
      <c r="D292" s="14"/>
      <c r="E292" s="14" t="str">
        <f>IF(D292="","",IFERROR(VLOOKUP(D292,'Item Master'!$B$3:$C$302,2,0),"Unknown Code"))</f>
        <v/>
      </c>
      <c r="F292" s="14" t="str">
        <f>IF(D292="","",IFERROR(VLOOKUP(D292,'Item Master'!$B$3:$G$302,6,0),""))</f>
        <v/>
      </c>
      <c r="G292" s="19"/>
      <c r="H292" s="14"/>
      <c r="I292" s="14"/>
      <c r="J292" s="14"/>
    </row>
    <row r="293" ht="15.75" customHeight="1">
      <c r="A293" s="14" t="str">
        <f t="shared" si="1"/>
        <v/>
      </c>
      <c r="B293" s="24"/>
      <c r="C293" s="14"/>
      <c r="D293" s="14"/>
      <c r="E293" s="14" t="str">
        <f>IF(D293="","",IFERROR(VLOOKUP(D293,'Item Master'!$B$3:$C$302,2,0),"Unknown Code"))</f>
        <v/>
      </c>
      <c r="F293" s="14" t="str">
        <f>IF(D293="","",IFERROR(VLOOKUP(D293,'Item Master'!$B$3:$G$302,6,0),""))</f>
        <v/>
      </c>
      <c r="G293" s="19"/>
      <c r="H293" s="14"/>
      <c r="I293" s="14"/>
      <c r="J293" s="14"/>
    </row>
    <row r="294" ht="15.75" customHeight="1">
      <c r="A294" s="14" t="str">
        <f t="shared" si="1"/>
        <v/>
      </c>
      <c r="B294" s="24"/>
      <c r="C294" s="14"/>
      <c r="D294" s="14"/>
      <c r="E294" s="14" t="str">
        <f>IF(D294="","",IFERROR(VLOOKUP(D294,'Item Master'!$B$3:$C$302,2,0),"Unknown Code"))</f>
        <v/>
      </c>
      <c r="F294" s="14" t="str">
        <f>IF(D294="","",IFERROR(VLOOKUP(D294,'Item Master'!$B$3:$G$302,6,0),""))</f>
        <v/>
      </c>
      <c r="G294" s="19"/>
      <c r="H294" s="14"/>
      <c r="I294" s="14"/>
      <c r="J294" s="14"/>
    </row>
    <row r="295" ht="15.75" customHeight="1">
      <c r="A295" s="14" t="str">
        <f t="shared" si="1"/>
        <v/>
      </c>
      <c r="B295" s="24"/>
      <c r="C295" s="14"/>
      <c r="D295" s="14"/>
      <c r="E295" s="14" t="str">
        <f>IF(D295="","",IFERROR(VLOOKUP(D295,'Item Master'!$B$3:$C$302,2,0),"Unknown Code"))</f>
        <v/>
      </c>
      <c r="F295" s="14" t="str">
        <f>IF(D295="","",IFERROR(VLOOKUP(D295,'Item Master'!$B$3:$G$302,6,0),""))</f>
        <v/>
      </c>
      <c r="G295" s="19"/>
      <c r="H295" s="14"/>
      <c r="I295" s="14"/>
      <c r="J295" s="14"/>
    </row>
    <row r="296" ht="15.75" customHeight="1">
      <c r="A296" s="14" t="str">
        <f t="shared" si="1"/>
        <v/>
      </c>
      <c r="B296" s="24"/>
      <c r="C296" s="14"/>
      <c r="D296" s="14"/>
      <c r="E296" s="14" t="str">
        <f>IF(D296="","",IFERROR(VLOOKUP(D296,'Item Master'!$B$3:$C$302,2,0),"Unknown Code"))</f>
        <v/>
      </c>
      <c r="F296" s="14" t="str">
        <f>IF(D296="","",IFERROR(VLOOKUP(D296,'Item Master'!$B$3:$G$302,6,0),""))</f>
        <v/>
      </c>
      <c r="G296" s="19"/>
      <c r="H296" s="14"/>
      <c r="I296" s="14"/>
      <c r="J296" s="14"/>
    </row>
    <row r="297" ht="15.75" customHeight="1">
      <c r="A297" s="14" t="str">
        <f t="shared" si="1"/>
        <v/>
      </c>
      <c r="B297" s="24"/>
      <c r="C297" s="14"/>
      <c r="D297" s="14"/>
      <c r="E297" s="14" t="str">
        <f>IF(D297="","",IFERROR(VLOOKUP(D297,'Item Master'!$B$3:$C$302,2,0),"Unknown Code"))</f>
        <v/>
      </c>
      <c r="F297" s="14" t="str">
        <f>IF(D297="","",IFERROR(VLOOKUP(D297,'Item Master'!$B$3:$G$302,6,0),""))</f>
        <v/>
      </c>
      <c r="G297" s="19"/>
      <c r="H297" s="14"/>
      <c r="I297" s="14"/>
      <c r="J297" s="14"/>
    </row>
    <row r="298" ht="15.75" customHeight="1">
      <c r="A298" s="14" t="str">
        <f t="shared" si="1"/>
        <v/>
      </c>
      <c r="B298" s="24"/>
      <c r="C298" s="14"/>
      <c r="D298" s="14"/>
      <c r="E298" s="14" t="str">
        <f>IF(D298="","",IFERROR(VLOOKUP(D298,'Item Master'!$B$3:$C$302,2,0),"Unknown Code"))</f>
        <v/>
      </c>
      <c r="F298" s="14" t="str">
        <f>IF(D298="","",IFERROR(VLOOKUP(D298,'Item Master'!$B$3:$G$302,6,0),""))</f>
        <v/>
      </c>
      <c r="G298" s="19"/>
      <c r="H298" s="14"/>
      <c r="I298" s="14"/>
      <c r="J298" s="14"/>
    </row>
    <row r="299" ht="15.75" customHeight="1">
      <c r="A299" s="14" t="str">
        <f t="shared" si="1"/>
        <v/>
      </c>
      <c r="B299" s="24"/>
      <c r="C299" s="14"/>
      <c r="D299" s="14"/>
      <c r="E299" s="14" t="str">
        <f>IF(D299="","",IFERROR(VLOOKUP(D299,'Item Master'!$B$3:$C$302,2,0),"Unknown Code"))</f>
        <v/>
      </c>
      <c r="F299" s="14" t="str">
        <f>IF(D299="","",IFERROR(VLOOKUP(D299,'Item Master'!$B$3:$G$302,6,0),""))</f>
        <v/>
      </c>
      <c r="G299" s="19"/>
      <c r="H299" s="14"/>
      <c r="I299" s="14"/>
      <c r="J299" s="14"/>
    </row>
    <row r="300" ht="15.75" customHeight="1">
      <c r="A300" s="14" t="str">
        <f t="shared" si="1"/>
        <v/>
      </c>
      <c r="B300" s="24"/>
      <c r="C300" s="14"/>
      <c r="D300" s="14"/>
      <c r="E300" s="14" t="str">
        <f>IF(D300="","",IFERROR(VLOOKUP(D300,'Item Master'!$B$3:$C$302,2,0),"Unknown Code"))</f>
        <v/>
      </c>
      <c r="F300" s="14" t="str">
        <f>IF(D300="","",IFERROR(VLOOKUP(D300,'Item Master'!$B$3:$G$302,6,0),""))</f>
        <v/>
      </c>
      <c r="G300" s="19"/>
      <c r="H300" s="14"/>
      <c r="I300" s="14"/>
      <c r="J300" s="14"/>
    </row>
    <row r="301" ht="15.75" customHeight="1">
      <c r="A301" s="14" t="str">
        <f t="shared" si="1"/>
        <v/>
      </c>
      <c r="B301" s="24"/>
      <c r="C301" s="14"/>
      <c r="D301" s="14"/>
      <c r="E301" s="14" t="str">
        <f>IF(D301="","",IFERROR(VLOOKUP(D301,'Item Master'!$B$3:$C$302,2,0),"Unknown Code"))</f>
        <v/>
      </c>
      <c r="F301" s="14" t="str">
        <f>IF(D301="","",IFERROR(VLOOKUP(D301,'Item Master'!$B$3:$G$302,6,0),""))</f>
        <v/>
      </c>
      <c r="G301" s="19"/>
      <c r="H301" s="14"/>
      <c r="I301" s="14"/>
      <c r="J301" s="14"/>
    </row>
    <row r="302" ht="15.75" customHeight="1">
      <c r="A302" s="14" t="str">
        <f t="shared" si="1"/>
        <v/>
      </c>
      <c r="B302" s="24"/>
      <c r="C302" s="14"/>
      <c r="D302" s="14"/>
      <c r="E302" s="14" t="str">
        <f>IF(D302="","",IFERROR(VLOOKUP(D302,'Item Master'!$B$3:$C$302,2,0),"Unknown Code"))</f>
        <v/>
      </c>
      <c r="F302" s="14" t="str">
        <f>IF(D302="","",IFERROR(VLOOKUP(D302,'Item Master'!$B$3:$G$302,6,0),""))</f>
        <v/>
      </c>
      <c r="G302" s="19"/>
      <c r="H302" s="14"/>
      <c r="I302" s="14"/>
      <c r="J302" s="14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3:D302">
      <formula1>'Item Master'!$B$3:$B$302</formula1>
    </dataValidation>
    <dataValidation type="list" allowBlank="1" sqref="C3:C302">
      <formula1>'Job Master'!$B$3:$B$40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2" width="32.0"/>
    <col customWidth="1" min="3" max="3" width="8.0"/>
    <col customWidth="1" min="4" max="8" width="11.0"/>
    <col customWidth="1" min="9" max="9" width="13.0"/>
    <col customWidth="1" min="10" max="26" width="8.71"/>
  </cols>
  <sheetData>
    <row r="1">
      <c r="A1" s="3" t="s">
        <v>147</v>
      </c>
    </row>
    <row r="2">
      <c r="A2" s="26" t="s">
        <v>60</v>
      </c>
      <c r="B2" s="26" t="s">
        <v>61</v>
      </c>
      <c r="C2" s="26" t="s">
        <v>65</v>
      </c>
      <c r="D2" s="26" t="s">
        <v>38</v>
      </c>
      <c r="E2" s="26" t="s">
        <v>39</v>
      </c>
      <c r="F2" s="26" t="s">
        <v>40</v>
      </c>
      <c r="G2" s="26" t="s">
        <v>41</v>
      </c>
      <c r="H2" s="26" t="s">
        <v>42</v>
      </c>
      <c r="I2" s="26" t="s">
        <v>148</v>
      </c>
    </row>
    <row r="3">
      <c r="A3" s="14" t="str">
        <f>IF('Item Master'!B3="","",'Item Master'!B3)</f>
        <v>MCB-006</v>
      </c>
      <c r="B3" s="14" t="str">
        <f>IF($A3="","",'Item Master'!C3)</f>
        <v>MCB 06A SP C-Curve</v>
      </c>
      <c r="C3" s="14" t="str">
        <f>IF($A3="","",'Item Master'!G3)</f>
        <v>Nos</v>
      </c>
      <c r="D3" s="19">
        <f>IF($A3="","",SUMIFS('Stock OUT (Issue)'!$G$3:$G$302,'Stock OUT (Issue)'!$D$3:$D$302,$A3,'Stock OUT (Issue)'!$C$3:$C$302,"JOB-01"))</f>
        <v>0</v>
      </c>
      <c r="E3" s="19">
        <f>IF($A3="","",SUMIFS('Stock OUT (Issue)'!$G$3:$G$302,'Stock OUT (Issue)'!$D$3:$D$302,$A3,'Stock OUT (Issue)'!$C$3:$C$302,"JOB-02"))</f>
        <v>0</v>
      </c>
      <c r="F3" s="19">
        <f>IF($A3="","",SUMIFS('Stock OUT (Issue)'!$G$3:$G$302,'Stock OUT (Issue)'!$D$3:$D$302,$A3,'Stock OUT (Issue)'!$C$3:$C$302,"JOB-03"))</f>
        <v>0</v>
      </c>
      <c r="G3" s="19">
        <f>IF($A3="","",SUMIFS('Stock OUT (Issue)'!$G$3:$G$302,'Stock OUT (Issue)'!$D$3:$D$302,$A3,'Stock OUT (Issue)'!$C$3:$C$302,"JOB-04"))</f>
        <v>0</v>
      </c>
      <c r="H3" s="19">
        <f>IF($A3="","",SUMIFS('Stock OUT (Issue)'!$G$3:$G$302,'Stock OUT (Issue)'!$D$3:$D$302,$A3,'Stock OUT (Issue)'!$C$3:$C$302,"JOB-05"))</f>
        <v>0</v>
      </c>
      <c r="I3" s="19">
        <f t="shared" ref="I3:I302" si="1">IF($A3="","",SUM(D3:H3))</f>
        <v>0</v>
      </c>
    </row>
    <row r="4">
      <c r="A4" s="14" t="str">
        <f>IF('Item Master'!B4="","",'Item Master'!B4)</f>
        <v>MCB-032</v>
      </c>
      <c r="B4" s="14" t="str">
        <f>IF($A4="","",'Item Master'!C4)</f>
        <v>MCB 32A SP C-Curve</v>
      </c>
      <c r="C4" s="14" t="str">
        <f>IF($A4="","",'Item Master'!G4)</f>
        <v>Nos</v>
      </c>
      <c r="D4" s="19">
        <f>IF($A4="","",SUMIFS('Stock OUT (Issue)'!$G$3:$G$302,'Stock OUT (Issue)'!$D$3:$D$302,$A4,'Stock OUT (Issue)'!$C$3:$C$302,"JOB-01"))</f>
        <v>0</v>
      </c>
      <c r="E4" s="19">
        <f>IF($A4="","",SUMIFS('Stock OUT (Issue)'!$G$3:$G$302,'Stock OUT (Issue)'!$D$3:$D$302,$A4,'Stock OUT (Issue)'!$C$3:$C$302,"JOB-02"))</f>
        <v>0</v>
      </c>
      <c r="F4" s="19">
        <f>IF($A4="","",SUMIFS('Stock OUT (Issue)'!$G$3:$G$302,'Stock OUT (Issue)'!$D$3:$D$302,$A4,'Stock OUT (Issue)'!$C$3:$C$302,"JOB-03"))</f>
        <v>0</v>
      </c>
      <c r="G4" s="19">
        <f>IF($A4="","",SUMIFS('Stock OUT (Issue)'!$G$3:$G$302,'Stock OUT (Issue)'!$D$3:$D$302,$A4,'Stock OUT (Issue)'!$C$3:$C$302,"JOB-04"))</f>
        <v>0</v>
      </c>
      <c r="H4" s="19">
        <f>IF($A4="","",SUMIFS('Stock OUT (Issue)'!$G$3:$G$302,'Stock OUT (Issue)'!$D$3:$D$302,$A4,'Stock OUT (Issue)'!$C$3:$C$302,"JOB-05"))</f>
        <v>0</v>
      </c>
      <c r="I4" s="19">
        <f t="shared" si="1"/>
        <v>0</v>
      </c>
    </row>
    <row r="5">
      <c r="A5" s="14" t="str">
        <f>IF('Item Master'!B5="","",'Item Master'!B5)</f>
        <v>MCCB-001</v>
      </c>
      <c r="B5" s="14" t="str">
        <f>IF($A5="","",'Item Master'!C5)</f>
        <v>MCCB 100A TP</v>
      </c>
      <c r="C5" s="14" t="str">
        <f>IF($A5="","",'Item Master'!G5)</f>
        <v>Nos</v>
      </c>
      <c r="D5" s="19">
        <f>IF($A5="","",SUMIFS('Stock OUT (Issue)'!$G$3:$G$302,'Stock OUT (Issue)'!$D$3:$D$302,$A5,'Stock OUT (Issue)'!$C$3:$C$302,"JOB-01"))</f>
        <v>0</v>
      </c>
      <c r="E5" s="19">
        <f>IF($A5="","",SUMIFS('Stock OUT (Issue)'!$G$3:$G$302,'Stock OUT (Issue)'!$D$3:$D$302,$A5,'Stock OUT (Issue)'!$C$3:$C$302,"JOB-02"))</f>
        <v>0</v>
      </c>
      <c r="F5" s="19">
        <f>IF($A5="","",SUMIFS('Stock OUT (Issue)'!$G$3:$G$302,'Stock OUT (Issue)'!$D$3:$D$302,$A5,'Stock OUT (Issue)'!$C$3:$C$302,"JOB-03"))</f>
        <v>0</v>
      </c>
      <c r="G5" s="19">
        <f>IF($A5="","",SUMIFS('Stock OUT (Issue)'!$G$3:$G$302,'Stock OUT (Issue)'!$D$3:$D$302,$A5,'Stock OUT (Issue)'!$C$3:$C$302,"JOB-04"))</f>
        <v>0</v>
      </c>
      <c r="H5" s="19">
        <f>IF($A5="","",SUMIFS('Stock OUT (Issue)'!$G$3:$G$302,'Stock OUT (Issue)'!$D$3:$D$302,$A5,'Stock OUT (Issue)'!$C$3:$C$302,"JOB-05"))</f>
        <v>0</v>
      </c>
      <c r="I5" s="19">
        <f t="shared" si="1"/>
        <v>0</v>
      </c>
    </row>
    <row r="6">
      <c r="A6" s="14" t="str">
        <f>IF('Item Master'!B6="","",'Item Master'!B6)</f>
        <v>CONT-001</v>
      </c>
      <c r="B6" s="14" t="str">
        <f>IF($A6="","",'Item Master'!C6)</f>
        <v>Contactor 32A 3-Pole</v>
      </c>
      <c r="C6" s="14" t="str">
        <f>IF($A6="","",'Item Master'!G6)</f>
        <v>Nos</v>
      </c>
      <c r="D6" s="19">
        <f>IF($A6="","",SUMIFS('Stock OUT (Issue)'!$G$3:$G$302,'Stock OUT (Issue)'!$D$3:$D$302,$A6,'Stock OUT (Issue)'!$C$3:$C$302,"JOB-01"))</f>
        <v>0</v>
      </c>
      <c r="E6" s="19">
        <f>IF($A6="","",SUMIFS('Stock OUT (Issue)'!$G$3:$G$302,'Stock OUT (Issue)'!$D$3:$D$302,$A6,'Stock OUT (Issue)'!$C$3:$C$302,"JOB-02"))</f>
        <v>0</v>
      </c>
      <c r="F6" s="19">
        <f>IF($A6="","",SUMIFS('Stock OUT (Issue)'!$G$3:$G$302,'Stock OUT (Issue)'!$D$3:$D$302,$A6,'Stock OUT (Issue)'!$C$3:$C$302,"JOB-03"))</f>
        <v>0</v>
      </c>
      <c r="G6" s="19">
        <f>IF($A6="","",SUMIFS('Stock OUT (Issue)'!$G$3:$G$302,'Stock OUT (Issue)'!$D$3:$D$302,$A6,'Stock OUT (Issue)'!$C$3:$C$302,"JOB-04"))</f>
        <v>0</v>
      </c>
      <c r="H6" s="19">
        <f>IF($A6="","",SUMIFS('Stock OUT (Issue)'!$G$3:$G$302,'Stock OUT (Issue)'!$D$3:$D$302,$A6,'Stock OUT (Issue)'!$C$3:$C$302,"JOB-05"))</f>
        <v>0</v>
      </c>
      <c r="I6" s="19">
        <f t="shared" si="1"/>
        <v>0</v>
      </c>
    </row>
    <row r="7">
      <c r="A7" s="14" t="str">
        <f>IF('Item Master'!B7="","",'Item Master'!B7)</f>
        <v>RLY-001</v>
      </c>
      <c r="B7" s="14" t="str">
        <f>IF($A7="","",'Item Master'!C7)</f>
        <v>Control Relay 230V 2C/O</v>
      </c>
      <c r="C7" s="14" t="str">
        <f>IF($A7="","",'Item Master'!G7)</f>
        <v>Nos</v>
      </c>
      <c r="D7" s="19">
        <f>IF($A7="","",SUMIFS('Stock OUT (Issue)'!$G$3:$G$302,'Stock OUT (Issue)'!$D$3:$D$302,$A7,'Stock OUT (Issue)'!$C$3:$C$302,"JOB-01"))</f>
        <v>0</v>
      </c>
      <c r="E7" s="19">
        <f>IF($A7="","",SUMIFS('Stock OUT (Issue)'!$G$3:$G$302,'Stock OUT (Issue)'!$D$3:$D$302,$A7,'Stock OUT (Issue)'!$C$3:$C$302,"JOB-02"))</f>
        <v>0</v>
      </c>
      <c r="F7" s="19">
        <f>IF($A7="","",SUMIFS('Stock OUT (Issue)'!$G$3:$G$302,'Stock OUT (Issue)'!$D$3:$D$302,$A7,'Stock OUT (Issue)'!$C$3:$C$302,"JOB-03"))</f>
        <v>0</v>
      </c>
      <c r="G7" s="19">
        <f>IF($A7="","",SUMIFS('Stock OUT (Issue)'!$G$3:$G$302,'Stock OUT (Issue)'!$D$3:$D$302,$A7,'Stock OUT (Issue)'!$C$3:$C$302,"JOB-04"))</f>
        <v>0</v>
      </c>
      <c r="H7" s="19">
        <f>IF($A7="","",SUMIFS('Stock OUT (Issue)'!$G$3:$G$302,'Stock OUT (Issue)'!$D$3:$D$302,$A7,'Stock OUT (Issue)'!$C$3:$C$302,"JOB-05"))</f>
        <v>0</v>
      </c>
      <c r="I7" s="19">
        <f t="shared" si="1"/>
        <v>0</v>
      </c>
    </row>
    <row r="8">
      <c r="A8" s="14" t="str">
        <f>IF('Item Master'!B8="","",'Item Master'!B8)</f>
        <v>CBL-001</v>
      </c>
      <c r="B8" s="14" t="str">
        <f>IF($A8="","",'Item Master'!C8)</f>
        <v>Cable 2.5 sqmm Cu (FRLS)</v>
      </c>
      <c r="C8" s="14" t="str">
        <f>IF($A8="","",'Item Master'!G8)</f>
        <v>Mtr</v>
      </c>
      <c r="D8" s="19">
        <f>IF($A8="","",SUMIFS('Stock OUT (Issue)'!$G$3:$G$302,'Stock OUT (Issue)'!$D$3:$D$302,$A8,'Stock OUT (Issue)'!$C$3:$C$302,"JOB-01"))</f>
        <v>0</v>
      </c>
      <c r="E8" s="19">
        <f>IF($A8="","",SUMIFS('Stock OUT (Issue)'!$G$3:$G$302,'Stock OUT (Issue)'!$D$3:$D$302,$A8,'Stock OUT (Issue)'!$C$3:$C$302,"JOB-02"))</f>
        <v>0</v>
      </c>
      <c r="F8" s="19">
        <f>IF($A8="","",SUMIFS('Stock OUT (Issue)'!$G$3:$G$302,'Stock OUT (Issue)'!$D$3:$D$302,$A8,'Stock OUT (Issue)'!$C$3:$C$302,"JOB-03"))</f>
        <v>0</v>
      </c>
      <c r="G8" s="19">
        <f>IF($A8="","",SUMIFS('Stock OUT (Issue)'!$G$3:$G$302,'Stock OUT (Issue)'!$D$3:$D$302,$A8,'Stock OUT (Issue)'!$C$3:$C$302,"JOB-04"))</f>
        <v>0</v>
      </c>
      <c r="H8" s="19">
        <f>IF($A8="","",SUMIFS('Stock OUT (Issue)'!$G$3:$G$302,'Stock OUT (Issue)'!$D$3:$D$302,$A8,'Stock OUT (Issue)'!$C$3:$C$302,"JOB-05"))</f>
        <v>0</v>
      </c>
      <c r="I8" s="19">
        <f t="shared" si="1"/>
        <v>0</v>
      </c>
    </row>
    <row r="9">
      <c r="A9" s="14" t="str">
        <f>IF('Item Master'!B9="","",'Item Master'!B9)</f>
        <v>CBL-002</v>
      </c>
      <c r="B9" s="14" t="str">
        <f>IF($A9="","",'Item Master'!C9)</f>
        <v>Cable 4 sqmm Cu (FRLS)</v>
      </c>
      <c r="C9" s="14" t="str">
        <f>IF($A9="","",'Item Master'!G9)</f>
        <v>Mtr</v>
      </c>
      <c r="D9" s="19">
        <f>IF($A9="","",SUMIFS('Stock OUT (Issue)'!$G$3:$G$302,'Stock OUT (Issue)'!$D$3:$D$302,$A9,'Stock OUT (Issue)'!$C$3:$C$302,"JOB-01"))</f>
        <v>0</v>
      </c>
      <c r="E9" s="19">
        <f>IF($A9="","",SUMIFS('Stock OUT (Issue)'!$G$3:$G$302,'Stock OUT (Issue)'!$D$3:$D$302,$A9,'Stock OUT (Issue)'!$C$3:$C$302,"JOB-02"))</f>
        <v>0</v>
      </c>
      <c r="F9" s="19">
        <f>IF($A9="","",SUMIFS('Stock OUT (Issue)'!$G$3:$G$302,'Stock OUT (Issue)'!$D$3:$D$302,$A9,'Stock OUT (Issue)'!$C$3:$C$302,"JOB-03"))</f>
        <v>0</v>
      </c>
      <c r="G9" s="19">
        <f>IF($A9="","",SUMIFS('Stock OUT (Issue)'!$G$3:$G$302,'Stock OUT (Issue)'!$D$3:$D$302,$A9,'Stock OUT (Issue)'!$C$3:$C$302,"JOB-04"))</f>
        <v>0</v>
      </c>
      <c r="H9" s="19">
        <f>IF($A9="","",SUMIFS('Stock OUT (Issue)'!$G$3:$G$302,'Stock OUT (Issue)'!$D$3:$D$302,$A9,'Stock OUT (Issue)'!$C$3:$C$302,"JOB-05"))</f>
        <v>0</v>
      </c>
      <c r="I9" s="19">
        <f t="shared" si="1"/>
        <v>0</v>
      </c>
    </row>
    <row r="10">
      <c r="A10" s="14" t="str">
        <f>IF('Item Master'!B10="","",'Item Master'!B10)</f>
        <v>WIRE-001</v>
      </c>
      <c r="B10" s="14" t="str">
        <f>IF($A10="","",'Item Master'!C10)</f>
        <v>Control Wire 1.5 sqmm (Single Core)</v>
      </c>
      <c r="C10" s="14" t="str">
        <f>IF($A10="","",'Item Master'!G10)</f>
        <v>Mtr</v>
      </c>
      <c r="D10" s="19">
        <f>IF($A10="","",SUMIFS('Stock OUT (Issue)'!$G$3:$G$302,'Stock OUT (Issue)'!$D$3:$D$302,$A10,'Stock OUT (Issue)'!$C$3:$C$302,"JOB-01"))</f>
        <v>0</v>
      </c>
      <c r="E10" s="19">
        <f>IF($A10="","",SUMIFS('Stock OUT (Issue)'!$G$3:$G$302,'Stock OUT (Issue)'!$D$3:$D$302,$A10,'Stock OUT (Issue)'!$C$3:$C$302,"JOB-02"))</f>
        <v>0</v>
      </c>
      <c r="F10" s="19">
        <f>IF($A10="","",SUMIFS('Stock OUT (Issue)'!$G$3:$G$302,'Stock OUT (Issue)'!$D$3:$D$302,$A10,'Stock OUT (Issue)'!$C$3:$C$302,"JOB-03"))</f>
        <v>0</v>
      </c>
      <c r="G10" s="19">
        <f>IF($A10="","",SUMIFS('Stock OUT (Issue)'!$G$3:$G$302,'Stock OUT (Issue)'!$D$3:$D$302,$A10,'Stock OUT (Issue)'!$C$3:$C$302,"JOB-04"))</f>
        <v>0</v>
      </c>
      <c r="H10" s="19">
        <f>IF($A10="","",SUMIFS('Stock OUT (Issue)'!$G$3:$G$302,'Stock OUT (Issue)'!$D$3:$D$302,$A10,'Stock OUT (Issue)'!$C$3:$C$302,"JOB-05"))</f>
        <v>0</v>
      </c>
      <c r="I10" s="19">
        <f t="shared" si="1"/>
        <v>0</v>
      </c>
    </row>
    <row r="11">
      <c r="A11" s="14" t="str">
        <f>IF('Item Master'!B11="","",'Item Master'!B11)</f>
        <v>LUG-001</v>
      </c>
      <c r="B11" s="14" t="str">
        <f>IF($A11="","",'Item Master'!C11)</f>
        <v>Copper Lug 4 sqmm (Ring Type)</v>
      </c>
      <c r="C11" s="14" t="str">
        <f>IF($A11="","",'Item Master'!G11)</f>
        <v>Nos</v>
      </c>
      <c r="D11" s="19">
        <f>IF($A11="","",SUMIFS('Stock OUT (Issue)'!$G$3:$G$302,'Stock OUT (Issue)'!$D$3:$D$302,$A11,'Stock OUT (Issue)'!$C$3:$C$302,"JOB-01"))</f>
        <v>0</v>
      </c>
      <c r="E11" s="19">
        <f>IF($A11="","",SUMIFS('Stock OUT (Issue)'!$G$3:$G$302,'Stock OUT (Issue)'!$D$3:$D$302,$A11,'Stock OUT (Issue)'!$C$3:$C$302,"JOB-02"))</f>
        <v>0</v>
      </c>
      <c r="F11" s="19">
        <f>IF($A11="","",SUMIFS('Stock OUT (Issue)'!$G$3:$G$302,'Stock OUT (Issue)'!$D$3:$D$302,$A11,'Stock OUT (Issue)'!$C$3:$C$302,"JOB-03"))</f>
        <v>0</v>
      </c>
      <c r="G11" s="19">
        <f>IF($A11="","",SUMIFS('Stock OUT (Issue)'!$G$3:$G$302,'Stock OUT (Issue)'!$D$3:$D$302,$A11,'Stock OUT (Issue)'!$C$3:$C$302,"JOB-04"))</f>
        <v>0</v>
      </c>
      <c r="H11" s="19">
        <f>IF($A11="","",SUMIFS('Stock OUT (Issue)'!$G$3:$G$302,'Stock OUT (Issue)'!$D$3:$D$302,$A11,'Stock OUT (Issue)'!$C$3:$C$302,"JOB-05"))</f>
        <v>0</v>
      </c>
      <c r="I11" s="19">
        <f t="shared" si="1"/>
        <v>0</v>
      </c>
    </row>
    <row r="12">
      <c r="A12" s="14" t="str">
        <f>IF('Item Master'!B12="","",'Item Master'!B12)</f>
        <v>LUG-002</v>
      </c>
      <c r="B12" s="14" t="str">
        <f>IF($A12="","",'Item Master'!C12)</f>
        <v>Bootlace Ferrule 1.5 sqmm</v>
      </c>
      <c r="C12" s="14" t="str">
        <f>IF($A12="","",'Item Master'!G12)</f>
        <v>Nos</v>
      </c>
      <c r="D12" s="19">
        <f>IF($A12="","",SUMIFS('Stock OUT (Issue)'!$G$3:$G$302,'Stock OUT (Issue)'!$D$3:$D$302,$A12,'Stock OUT (Issue)'!$C$3:$C$302,"JOB-01"))</f>
        <v>0</v>
      </c>
      <c r="E12" s="19">
        <f>IF($A12="","",SUMIFS('Stock OUT (Issue)'!$G$3:$G$302,'Stock OUT (Issue)'!$D$3:$D$302,$A12,'Stock OUT (Issue)'!$C$3:$C$302,"JOB-02"))</f>
        <v>0</v>
      </c>
      <c r="F12" s="19">
        <f>IF($A12="","",SUMIFS('Stock OUT (Issue)'!$G$3:$G$302,'Stock OUT (Issue)'!$D$3:$D$302,$A12,'Stock OUT (Issue)'!$C$3:$C$302,"JOB-03"))</f>
        <v>0</v>
      </c>
      <c r="G12" s="19">
        <f>IF($A12="","",SUMIFS('Stock OUT (Issue)'!$G$3:$G$302,'Stock OUT (Issue)'!$D$3:$D$302,$A12,'Stock OUT (Issue)'!$C$3:$C$302,"JOB-04"))</f>
        <v>0</v>
      </c>
      <c r="H12" s="19">
        <f>IF($A12="","",SUMIFS('Stock OUT (Issue)'!$G$3:$G$302,'Stock OUT (Issue)'!$D$3:$D$302,$A12,'Stock OUT (Issue)'!$C$3:$C$302,"JOB-05"))</f>
        <v>0</v>
      </c>
      <c r="I12" s="19">
        <f t="shared" si="1"/>
        <v>0</v>
      </c>
    </row>
    <row r="13">
      <c r="A13" s="14" t="str">
        <f>IF('Item Master'!B13="","",'Item Master'!B13)</f>
        <v>NB-001</v>
      </c>
      <c r="B13" s="14" t="str">
        <f>IF($A13="","",'Item Master'!C13)</f>
        <v>Hex Bolt M6 x 20mm SS</v>
      </c>
      <c r="C13" s="14" t="str">
        <f>IF($A13="","",'Item Master'!G13)</f>
        <v>Nos</v>
      </c>
      <c r="D13" s="19">
        <f>IF($A13="","",SUMIFS('Stock OUT (Issue)'!$G$3:$G$302,'Stock OUT (Issue)'!$D$3:$D$302,$A13,'Stock OUT (Issue)'!$C$3:$C$302,"JOB-01"))</f>
        <v>0</v>
      </c>
      <c r="E13" s="19">
        <f>IF($A13="","",SUMIFS('Stock OUT (Issue)'!$G$3:$G$302,'Stock OUT (Issue)'!$D$3:$D$302,$A13,'Stock OUT (Issue)'!$C$3:$C$302,"JOB-02"))</f>
        <v>0</v>
      </c>
      <c r="F13" s="19">
        <f>IF($A13="","",SUMIFS('Stock OUT (Issue)'!$G$3:$G$302,'Stock OUT (Issue)'!$D$3:$D$302,$A13,'Stock OUT (Issue)'!$C$3:$C$302,"JOB-03"))</f>
        <v>0</v>
      </c>
      <c r="G13" s="19">
        <f>IF($A13="","",SUMIFS('Stock OUT (Issue)'!$G$3:$G$302,'Stock OUT (Issue)'!$D$3:$D$302,$A13,'Stock OUT (Issue)'!$C$3:$C$302,"JOB-04"))</f>
        <v>0</v>
      </c>
      <c r="H13" s="19">
        <f>IF($A13="","",SUMIFS('Stock OUT (Issue)'!$G$3:$G$302,'Stock OUT (Issue)'!$D$3:$D$302,$A13,'Stock OUT (Issue)'!$C$3:$C$302,"JOB-05"))</f>
        <v>0</v>
      </c>
      <c r="I13" s="19">
        <f t="shared" si="1"/>
        <v>0</v>
      </c>
    </row>
    <row r="14">
      <c r="A14" s="14" t="str">
        <f>IF('Item Master'!B14="","",'Item Master'!B14)</f>
        <v>NB-002</v>
      </c>
      <c r="B14" s="14" t="str">
        <f>IF($A14="","",'Item Master'!C14)</f>
        <v>Nut M6 SS</v>
      </c>
      <c r="C14" s="14" t="str">
        <f>IF($A14="","",'Item Master'!G14)</f>
        <v>Nos</v>
      </c>
      <c r="D14" s="19">
        <f>IF($A14="","",SUMIFS('Stock OUT (Issue)'!$G$3:$G$302,'Stock OUT (Issue)'!$D$3:$D$302,$A14,'Stock OUT (Issue)'!$C$3:$C$302,"JOB-01"))</f>
        <v>0</v>
      </c>
      <c r="E14" s="19">
        <f>IF($A14="","",SUMIFS('Stock OUT (Issue)'!$G$3:$G$302,'Stock OUT (Issue)'!$D$3:$D$302,$A14,'Stock OUT (Issue)'!$C$3:$C$302,"JOB-02"))</f>
        <v>0</v>
      </c>
      <c r="F14" s="19">
        <f>IF($A14="","",SUMIFS('Stock OUT (Issue)'!$G$3:$G$302,'Stock OUT (Issue)'!$D$3:$D$302,$A14,'Stock OUT (Issue)'!$C$3:$C$302,"JOB-03"))</f>
        <v>0</v>
      </c>
      <c r="G14" s="19">
        <f>IF($A14="","",SUMIFS('Stock OUT (Issue)'!$G$3:$G$302,'Stock OUT (Issue)'!$D$3:$D$302,$A14,'Stock OUT (Issue)'!$C$3:$C$302,"JOB-04"))</f>
        <v>0</v>
      </c>
      <c r="H14" s="19">
        <f>IF($A14="","",SUMIFS('Stock OUT (Issue)'!$G$3:$G$302,'Stock OUT (Issue)'!$D$3:$D$302,$A14,'Stock OUT (Issue)'!$C$3:$C$302,"JOB-05"))</f>
        <v>0</v>
      </c>
      <c r="I14" s="19">
        <f t="shared" si="1"/>
        <v>0</v>
      </c>
    </row>
    <row r="15">
      <c r="A15" s="14" t="str">
        <f>IF('Item Master'!B15="","",'Item Master'!B15)</f>
        <v>TB-001</v>
      </c>
      <c r="B15" s="14" t="str">
        <f>IF($A15="","",'Item Master'!C15)</f>
        <v>Terminal Block 4mm</v>
      </c>
      <c r="C15" s="14" t="str">
        <f>IF($A15="","",'Item Master'!G15)</f>
        <v>Nos</v>
      </c>
      <c r="D15" s="19">
        <f>IF($A15="","",SUMIFS('Stock OUT (Issue)'!$G$3:$G$302,'Stock OUT (Issue)'!$D$3:$D$302,$A15,'Stock OUT (Issue)'!$C$3:$C$302,"JOB-01"))</f>
        <v>0</v>
      </c>
      <c r="E15" s="19">
        <f>IF($A15="","",SUMIFS('Stock OUT (Issue)'!$G$3:$G$302,'Stock OUT (Issue)'!$D$3:$D$302,$A15,'Stock OUT (Issue)'!$C$3:$C$302,"JOB-02"))</f>
        <v>0</v>
      </c>
      <c r="F15" s="19">
        <f>IF($A15="","",SUMIFS('Stock OUT (Issue)'!$G$3:$G$302,'Stock OUT (Issue)'!$D$3:$D$302,$A15,'Stock OUT (Issue)'!$C$3:$C$302,"JOB-03"))</f>
        <v>0</v>
      </c>
      <c r="G15" s="19">
        <f>IF($A15="","",SUMIFS('Stock OUT (Issue)'!$G$3:$G$302,'Stock OUT (Issue)'!$D$3:$D$302,$A15,'Stock OUT (Issue)'!$C$3:$C$302,"JOB-04"))</f>
        <v>0</v>
      </c>
      <c r="H15" s="19">
        <f>IF($A15="","",SUMIFS('Stock OUT (Issue)'!$G$3:$G$302,'Stock OUT (Issue)'!$D$3:$D$302,$A15,'Stock OUT (Issue)'!$C$3:$C$302,"JOB-05"))</f>
        <v>0</v>
      </c>
      <c r="I15" s="19">
        <f t="shared" si="1"/>
        <v>0</v>
      </c>
    </row>
    <row r="16">
      <c r="A16" s="14" t="str">
        <f>IF('Item Master'!B16="","",'Item Master'!B16)</f>
        <v>PLC-001</v>
      </c>
      <c r="B16" s="14" t="str">
        <f>IF($A16="","",'Item Master'!C16)</f>
        <v>PLC Module - Digital I/O</v>
      </c>
      <c r="C16" s="14" t="str">
        <f>IF($A16="","",'Item Master'!G16)</f>
        <v>Nos</v>
      </c>
      <c r="D16" s="19">
        <f>IF($A16="","",SUMIFS('Stock OUT (Issue)'!$G$3:$G$302,'Stock OUT (Issue)'!$D$3:$D$302,$A16,'Stock OUT (Issue)'!$C$3:$C$302,"JOB-01"))</f>
        <v>0</v>
      </c>
      <c r="E16" s="19">
        <f>IF($A16="","",SUMIFS('Stock OUT (Issue)'!$G$3:$G$302,'Stock OUT (Issue)'!$D$3:$D$302,$A16,'Stock OUT (Issue)'!$C$3:$C$302,"JOB-02"))</f>
        <v>0</v>
      </c>
      <c r="F16" s="19">
        <f>IF($A16="","",SUMIFS('Stock OUT (Issue)'!$G$3:$G$302,'Stock OUT (Issue)'!$D$3:$D$302,$A16,'Stock OUT (Issue)'!$C$3:$C$302,"JOB-03"))</f>
        <v>0</v>
      </c>
      <c r="G16" s="19">
        <f>IF($A16="","",SUMIFS('Stock OUT (Issue)'!$G$3:$G$302,'Stock OUT (Issue)'!$D$3:$D$302,$A16,'Stock OUT (Issue)'!$C$3:$C$302,"JOB-04"))</f>
        <v>0</v>
      </c>
      <c r="H16" s="19">
        <f>IF($A16="","",SUMIFS('Stock OUT (Issue)'!$G$3:$G$302,'Stock OUT (Issue)'!$D$3:$D$302,$A16,'Stock OUT (Issue)'!$C$3:$C$302,"JOB-05"))</f>
        <v>0</v>
      </c>
      <c r="I16" s="19">
        <f t="shared" si="1"/>
        <v>0</v>
      </c>
    </row>
    <row r="17">
      <c r="A17" s="14" t="str">
        <f>IF('Item Master'!B17="","",'Item Master'!B17)</f>
        <v>HMI-001</v>
      </c>
      <c r="B17" s="14" t="str">
        <f>IF($A17="","",'Item Master'!C17)</f>
        <v>HMI 7 inch Touch Panel</v>
      </c>
      <c r="C17" s="14" t="str">
        <f>IF($A17="","",'Item Master'!G17)</f>
        <v>Nos</v>
      </c>
      <c r="D17" s="19">
        <f>IF($A17="","",SUMIFS('Stock OUT (Issue)'!$G$3:$G$302,'Stock OUT (Issue)'!$D$3:$D$302,$A17,'Stock OUT (Issue)'!$C$3:$C$302,"JOB-01"))</f>
        <v>0</v>
      </c>
      <c r="E17" s="19">
        <f>IF($A17="","",SUMIFS('Stock OUT (Issue)'!$G$3:$G$302,'Stock OUT (Issue)'!$D$3:$D$302,$A17,'Stock OUT (Issue)'!$C$3:$C$302,"JOB-02"))</f>
        <v>0</v>
      </c>
      <c r="F17" s="19">
        <f>IF($A17="","",SUMIFS('Stock OUT (Issue)'!$G$3:$G$302,'Stock OUT (Issue)'!$D$3:$D$302,$A17,'Stock OUT (Issue)'!$C$3:$C$302,"JOB-03"))</f>
        <v>0</v>
      </c>
      <c r="G17" s="19">
        <f>IF($A17="","",SUMIFS('Stock OUT (Issue)'!$G$3:$G$302,'Stock OUT (Issue)'!$D$3:$D$302,$A17,'Stock OUT (Issue)'!$C$3:$C$302,"JOB-04"))</f>
        <v>0</v>
      </c>
      <c r="H17" s="19">
        <f>IF($A17="","",SUMIFS('Stock OUT (Issue)'!$G$3:$G$302,'Stock OUT (Issue)'!$D$3:$D$302,$A17,'Stock OUT (Issue)'!$C$3:$C$302,"JOB-05"))</f>
        <v>0</v>
      </c>
      <c r="I17" s="19">
        <f t="shared" si="1"/>
        <v>0</v>
      </c>
    </row>
    <row r="18">
      <c r="A18" s="14" t="str">
        <f>IF('Item Master'!B18="","",'Item Master'!B18)</f>
        <v>BUS-001</v>
      </c>
      <c r="B18" s="14" t="str">
        <f>IF($A18="","",'Item Master'!C18)</f>
        <v>Copper Bus Bar 25x5mm</v>
      </c>
      <c r="C18" s="14" t="str">
        <f>IF($A18="","",'Item Master'!G18)</f>
        <v>Mtr</v>
      </c>
      <c r="D18" s="19">
        <f>IF($A18="","",SUMIFS('Stock OUT (Issue)'!$G$3:$G$302,'Stock OUT (Issue)'!$D$3:$D$302,$A18,'Stock OUT (Issue)'!$C$3:$C$302,"JOB-01"))</f>
        <v>0</v>
      </c>
      <c r="E18" s="19">
        <f>IF($A18="","",SUMIFS('Stock OUT (Issue)'!$G$3:$G$302,'Stock OUT (Issue)'!$D$3:$D$302,$A18,'Stock OUT (Issue)'!$C$3:$C$302,"JOB-02"))</f>
        <v>0</v>
      </c>
      <c r="F18" s="19">
        <f>IF($A18="","",SUMIFS('Stock OUT (Issue)'!$G$3:$G$302,'Stock OUT (Issue)'!$D$3:$D$302,$A18,'Stock OUT (Issue)'!$C$3:$C$302,"JOB-03"))</f>
        <v>0</v>
      </c>
      <c r="G18" s="19">
        <f>IF($A18="","",SUMIFS('Stock OUT (Issue)'!$G$3:$G$302,'Stock OUT (Issue)'!$D$3:$D$302,$A18,'Stock OUT (Issue)'!$C$3:$C$302,"JOB-04"))</f>
        <v>0</v>
      </c>
      <c r="H18" s="19">
        <f>IF($A18="","",SUMIFS('Stock OUT (Issue)'!$G$3:$G$302,'Stock OUT (Issue)'!$D$3:$D$302,$A18,'Stock OUT (Issue)'!$C$3:$C$302,"JOB-05"))</f>
        <v>0</v>
      </c>
      <c r="I18" s="19">
        <f t="shared" si="1"/>
        <v>0</v>
      </c>
    </row>
    <row r="19">
      <c r="A19" s="14" t="str">
        <f>IF('Item Master'!B19="","",'Item Master'!B19)</f>
        <v>GLD-001</v>
      </c>
      <c r="B19" s="14" t="str">
        <f>IF($A19="","",'Item Master'!C19)</f>
        <v>Glow Indicator Lamp 22mm</v>
      </c>
      <c r="C19" s="14" t="str">
        <f>IF($A19="","",'Item Master'!G19)</f>
        <v>Nos</v>
      </c>
      <c r="D19" s="19">
        <f>IF($A19="","",SUMIFS('Stock OUT (Issue)'!$G$3:$G$302,'Stock OUT (Issue)'!$D$3:$D$302,$A19,'Stock OUT (Issue)'!$C$3:$C$302,"JOB-01"))</f>
        <v>0</v>
      </c>
      <c r="E19" s="19">
        <f>IF($A19="","",SUMIFS('Stock OUT (Issue)'!$G$3:$G$302,'Stock OUT (Issue)'!$D$3:$D$302,$A19,'Stock OUT (Issue)'!$C$3:$C$302,"JOB-02"))</f>
        <v>0</v>
      </c>
      <c r="F19" s="19">
        <f>IF($A19="","",SUMIFS('Stock OUT (Issue)'!$G$3:$G$302,'Stock OUT (Issue)'!$D$3:$D$302,$A19,'Stock OUT (Issue)'!$C$3:$C$302,"JOB-03"))</f>
        <v>0</v>
      </c>
      <c r="G19" s="19">
        <f>IF($A19="","",SUMIFS('Stock OUT (Issue)'!$G$3:$G$302,'Stock OUT (Issue)'!$D$3:$D$302,$A19,'Stock OUT (Issue)'!$C$3:$C$302,"JOB-04"))</f>
        <v>0</v>
      </c>
      <c r="H19" s="19">
        <f>IF($A19="","",SUMIFS('Stock OUT (Issue)'!$G$3:$G$302,'Stock OUT (Issue)'!$D$3:$D$302,$A19,'Stock OUT (Issue)'!$C$3:$C$302,"JOB-05"))</f>
        <v>0</v>
      </c>
      <c r="I19" s="19">
        <f t="shared" si="1"/>
        <v>0</v>
      </c>
    </row>
    <row r="20">
      <c r="A20" s="14" t="str">
        <f>IF('Item Master'!B20="","",'Item Master'!B20)</f>
        <v>CG-001</v>
      </c>
      <c r="B20" s="14" t="str">
        <f>IF($A20="","",'Item Master'!C20)</f>
        <v>Cable Gland PG-13.5</v>
      </c>
      <c r="C20" s="14" t="str">
        <f>IF($A20="","",'Item Master'!G20)</f>
        <v>Nos</v>
      </c>
      <c r="D20" s="19">
        <f>IF($A20="","",SUMIFS('Stock OUT (Issue)'!$G$3:$G$302,'Stock OUT (Issue)'!$D$3:$D$302,$A20,'Stock OUT (Issue)'!$C$3:$C$302,"JOB-01"))</f>
        <v>0</v>
      </c>
      <c r="E20" s="19">
        <f>IF($A20="","",SUMIFS('Stock OUT (Issue)'!$G$3:$G$302,'Stock OUT (Issue)'!$D$3:$D$302,$A20,'Stock OUT (Issue)'!$C$3:$C$302,"JOB-02"))</f>
        <v>0</v>
      </c>
      <c r="F20" s="19">
        <f>IF($A20="","",SUMIFS('Stock OUT (Issue)'!$G$3:$G$302,'Stock OUT (Issue)'!$D$3:$D$302,$A20,'Stock OUT (Issue)'!$C$3:$C$302,"JOB-03"))</f>
        <v>0</v>
      </c>
      <c r="G20" s="19">
        <f>IF($A20="","",SUMIFS('Stock OUT (Issue)'!$G$3:$G$302,'Stock OUT (Issue)'!$D$3:$D$302,$A20,'Stock OUT (Issue)'!$C$3:$C$302,"JOB-04"))</f>
        <v>0</v>
      </c>
      <c r="H20" s="19">
        <f>IF($A20="","",SUMIFS('Stock OUT (Issue)'!$G$3:$G$302,'Stock OUT (Issue)'!$D$3:$D$302,$A20,'Stock OUT (Issue)'!$C$3:$C$302,"JOB-05"))</f>
        <v>0</v>
      </c>
      <c r="I20" s="19">
        <f t="shared" si="1"/>
        <v>0</v>
      </c>
    </row>
    <row r="21" ht="15.75" customHeight="1">
      <c r="A21" s="14" t="str">
        <f>IF('Item Master'!B21="","",'Item Master'!B21)</f>
        <v/>
      </c>
      <c r="B21" s="14" t="str">
        <f>IF($A21="","",'Item Master'!C21)</f>
        <v/>
      </c>
      <c r="C21" s="14" t="str">
        <f>IF($A21="","",'Item Master'!G21)</f>
        <v/>
      </c>
      <c r="D21" s="19" t="str">
        <f>IF($A21="","",SUMIFS('Stock OUT (Issue)'!$G$3:$G$302,'Stock OUT (Issue)'!$D$3:$D$302,$A21,'Stock OUT (Issue)'!$C$3:$C$302,"JOB-01"))</f>
        <v/>
      </c>
      <c r="E21" s="19" t="str">
        <f>IF($A21="","",SUMIFS('Stock OUT (Issue)'!$G$3:$G$302,'Stock OUT (Issue)'!$D$3:$D$302,$A21,'Stock OUT (Issue)'!$C$3:$C$302,"JOB-02"))</f>
        <v/>
      </c>
      <c r="F21" s="19" t="str">
        <f>IF($A21="","",SUMIFS('Stock OUT (Issue)'!$G$3:$G$302,'Stock OUT (Issue)'!$D$3:$D$302,$A21,'Stock OUT (Issue)'!$C$3:$C$302,"JOB-03"))</f>
        <v/>
      </c>
      <c r="G21" s="19" t="str">
        <f>IF($A21="","",SUMIFS('Stock OUT (Issue)'!$G$3:$G$302,'Stock OUT (Issue)'!$D$3:$D$302,$A21,'Stock OUT (Issue)'!$C$3:$C$302,"JOB-04"))</f>
        <v/>
      </c>
      <c r="H21" s="19" t="str">
        <f>IF($A21="","",SUMIFS('Stock OUT (Issue)'!$G$3:$G$302,'Stock OUT (Issue)'!$D$3:$D$302,$A21,'Stock OUT (Issue)'!$C$3:$C$302,"JOB-05"))</f>
        <v/>
      </c>
      <c r="I21" s="19" t="str">
        <f t="shared" si="1"/>
        <v/>
      </c>
    </row>
    <row r="22" ht="15.75" customHeight="1">
      <c r="A22" s="14" t="str">
        <f>IF('Item Master'!B22="","",'Item Master'!B22)</f>
        <v/>
      </c>
      <c r="B22" s="14" t="str">
        <f>IF($A22="","",'Item Master'!C22)</f>
        <v/>
      </c>
      <c r="C22" s="14" t="str">
        <f>IF($A22="","",'Item Master'!G22)</f>
        <v/>
      </c>
      <c r="D22" s="19" t="str">
        <f>IF($A22="","",SUMIFS('Stock OUT (Issue)'!$G$3:$G$302,'Stock OUT (Issue)'!$D$3:$D$302,$A22,'Stock OUT (Issue)'!$C$3:$C$302,"JOB-01"))</f>
        <v/>
      </c>
      <c r="E22" s="19" t="str">
        <f>IF($A22="","",SUMIFS('Stock OUT (Issue)'!$G$3:$G$302,'Stock OUT (Issue)'!$D$3:$D$302,$A22,'Stock OUT (Issue)'!$C$3:$C$302,"JOB-02"))</f>
        <v/>
      </c>
      <c r="F22" s="19" t="str">
        <f>IF($A22="","",SUMIFS('Stock OUT (Issue)'!$G$3:$G$302,'Stock OUT (Issue)'!$D$3:$D$302,$A22,'Stock OUT (Issue)'!$C$3:$C$302,"JOB-03"))</f>
        <v/>
      </c>
      <c r="G22" s="19" t="str">
        <f>IF($A22="","",SUMIFS('Stock OUT (Issue)'!$G$3:$G$302,'Stock OUT (Issue)'!$D$3:$D$302,$A22,'Stock OUT (Issue)'!$C$3:$C$302,"JOB-04"))</f>
        <v/>
      </c>
      <c r="H22" s="19" t="str">
        <f>IF($A22="","",SUMIFS('Stock OUT (Issue)'!$G$3:$G$302,'Stock OUT (Issue)'!$D$3:$D$302,$A22,'Stock OUT (Issue)'!$C$3:$C$302,"JOB-05"))</f>
        <v/>
      </c>
      <c r="I22" s="19" t="str">
        <f t="shared" si="1"/>
        <v/>
      </c>
    </row>
    <row r="23" ht="15.75" customHeight="1">
      <c r="A23" s="14" t="str">
        <f>IF('Item Master'!B23="","",'Item Master'!B23)</f>
        <v/>
      </c>
      <c r="B23" s="14" t="str">
        <f>IF($A23="","",'Item Master'!C23)</f>
        <v/>
      </c>
      <c r="C23" s="14" t="str">
        <f>IF($A23="","",'Item Master'!G23)</f>
        <v/>
      </c>
      <c r="D23" s="19" t="str">
        <f>IF($A23="","",SUMIFS('Stock OUT (Issue)'!$G$3:$G$302,'Stock OUT (Issue)'!$D$3:$D$302,$A23,'Stock OUT (Issue)'!$C$3:$C$302,"JOB-01"))</f>
        <v/>
      </c>
      <c r="E23" s="19" t="str">
        <f>IF($A23="","",SUMIFS('Stock OUT (Issue)'!$G$3:$G$302,'Stock OUT (Issue)'!$D$3:$D$302,$A23,'Stock OUT (Issue)'!$C$3:$C$302,"JOB-02"))</f>
        <v/>
      </c>
      <c r="F23" s="19" t="str">
        <f>IF($A23="","",SUMIFS('Stock OUT (Issue)'!$G$3:$G$302,'Stock OUT (Issue)'!$D$3:$D$302,$A23,'Stock OUT (Issue)'!$C$3:$C$302,"JOB-03"))</f>
        <v/>
      </c>
      <c r="G23" s="19" t="str">
        <f>IF($A23="","",SUMIFS('Stock OUT (Issue)'!$G$3:$G$302,'Stock OUT (Issue)'!$D$3:$D$302,$A23,'Stock OUT (Issue)'!$C$3:$C$302,"JOB-04"))</f>
        <v/>
      </c>
      <c r="H23" s="19" t="str">
        <f>IF($A23="","",SUMIFS('Stock OUT (Issue)'!$G$3:$G$302,'Stock OUT (Issue)'!$D$3:$D$302,$A23,'Stock OUT (Issue)'!$C$3:$C$302,"JOB-05"))</f>
        <v/>
      </c>
      <c r="I23" s="19" t="str">
        <f t="shared" si="1"/>
        <v/>
      </c>
    </row>
    <row r="24" ht="15.75" customHeight="1">
      <c r="A24" s="14" t="str">
        <f>IF('Item Master'!B24="","",'Item Master'!B24)</f>
        <v/>
      </c>
      <c r="B24" s="14" t="str">
        <f>IF($A24="","",'Item Master'!C24)</f>
        <v/>
      </c>
      <c r="C24" s="14" t="str">
        <f>IF($A24="","",'Item Master'!G24)</f>
        <v/>
      </c>
      <c r="D24" s="19" t="str">
        <f>IF($A24="","",SUMIFS('Stock OUT (Issue)'!$G$3:$G$302,'Stock OUT (Issue)'!$D$3:$D$302,$A24,'Stock OUT (Issue)'!$C$3:$C$302,"JOB-01"))</f>
        <v/>
      </c>
      <c r="E24" s="19" t="str">
        <f>IF($A24="","",SUMIFS('Stock OUT (Issue)'!$G$3:$G$302,'Stock OUT (Issue)'!$D$3:$D$302,$A24,'Stock OUT (Issue)'!$C$3:$C$302,"JOB-02"))</f>
        <v/>
      </c>
      <c r="F24" s="19" t="str">
        <f>IF($A24="","",SUMIFS('Stock OUT (Issue)'!$G$3:$G$302,'Stock OUT (Issue)'!$D$3:$D$302,$A24,'Stock OUT (Issue)'!$C$3:$C$302,"JOB-03"))</f>
        <v/>
      </c>
      <c r="G24" s="19" t="str">
        <f>IF($A24="","",SUMIFS('Stock OUT (Issue)'!$G$3:$G$302,'Stock OUT (Issue)'!$D$3:$D$302,$A24,'Stock OUT (Issue)'!$C$3:$C$302,"JOB-04"))</f>
        <v/>
      </c>
      <c r="H24" s="19" t="str">
        <f>IF($A24="","",SUMIFS('Stock OUT (Issue)'!$G$3:$G$302,'Stock OUT (Issue)'!$D$3:$D$302,$A24,'Stock OUT (Issue)'!$C$3:$C$302,"JOB-05"))</f>
        <v/>
      </c>
      <c r="I24" s="19" t="str">
        <f t="shared" si="1"/>
        <v/>
      </c>
    </row>
    <row r="25" ht="15.75" customHeight="1">
      <c r="A25" s="14" t="str">
        <f>IF('Item Master'!B25="","",'Item Master'!B25)</f>
        <v/>
      </c>
      <c r="B25" s="14" t="str">
        <f>IF($A25="","",'Item Master'!C25)</f>
        <v/>
      </c>
      <c r="C25" s="14" t="str">
        <f>IF($A25="","",'Item Master'!G25)</f>
        <v/>
      </c>
      <c r="D25" s="19" t="str">
        <f>IF($A25="","",SUMIFS('Stock OUT (Issue)'!$G$3:$G$302,'Stock OUT (Issue)'!$D$3:$D$302,$A25,'Stock OUT (Issue)'!$C$3:$C$302,"JOB-01"))</f>
        <v/>
      </c>
      <c r="E25" s="19" t="str">
        <f>IF($A25="","",SUMIFS('Stock OUT (Issue)'!$G$3:$G$302,'Stock OUT (Issue)'!$D$3:$D$302,$A25,'Stock OUT (Issue)'!$C$3:$C$302,"JOB-02"))</f>
        <v/>
      </c>
      <c r="F25" s="19" t="str">
        <f>IF($A25="","",SUMIFS('Stock OUT (Issue)'!$G$3:$G$302,'Stock OUT (Issue)'!$D$3:$D$302,$A25,'Stock OUT (Issue)'!$C$3:$C$302,"JOB-03"))</f>
        <v/>
      </c>
      <c r="G25" s="19" t="str">
        <f>IF($A25="","",SUMIFS('Stock OUT (Issue)'!$G$3:$G$302,'Stock OUT (Issue)'!$D$3:$D$302,$A25,'Stock OUT (Issue)'!$C$3:$C$302,"JOB-04"))</f>
        <v/>
      </c>
      <c r="H25" s="19" t="str">
        <f>IF($A25="","",SUMIFS('Stock OUT (Issue)'!$G$3:$G$302,'Stock OUT (Issue)'!$D$3:$D$302,$A25,'Stock OUT (Issue)'!$C$3:$C$302,"JOB-05"))</f>
        <v/>
      </c>
      <c r="I25" s="19" t="str">
        <f t="shared" si="1"/>
        <v/>
      </c>
    </row>
    <row r="26" ht="15.75" customHeight="1">
      <c r="A26" s="14" t="str">
        <f>IF('Item Master'!B26="","",'Item Master'!B26)</f>
        <v/>
      </c>
      <c r="B26" s="14" t="str">
        <f>IF($A26="","",'Item Master'!C26)</f>
        <v/>
      </c>
      <c r="C26" s="14" t="str">
        <f>IF($A26="","",'Item Master'!G26)</f>
        <v/>
      </c>
      <c r="D26" s="19" t="str">
        <f>IF($A26="","",SUMIFS('Stock OUT (Issue)'!$G$3:$G$302,'Stock OUT (Issue)'!$D$3:$D$302,$A26,'Stock OUT (Issue)'!$C$3:$C$302,"JOB-01"))</f>
        <v/>
      </c>
      <c r="E26" s="19" t="str">
        <f>IF($A26="","",SUMIFS('Stock OUT (Issue)'!$G$3:$G$302,'Stock OUT (Issue)'!$D$3:$D$302,$A26,'Stock OUT (Issue)'!$C$3:$C$302,"JOB-02"))</f>
        <v/>
      </c>
      <c r="F26" s="19" t="str">
        <f>IF($A26="","",SUMIFS('Stock OUT (Issue)'!$G$3:$G$302,'Stock OUT (Issue)'!$D$3:$D$302,$A26,'Stock OUT (Issue)'!$C$3:$C$302,"JOB-03"))</f>
        <v/>
      </c>
      <c r="G26" s="19" t="str">
        <f>IF($A26="","",SUMIFS('Stock OUT (Issue)'!$G$3:$G$302,'Stock OUT (Issue)'!$D$3:$D$302,$A26,'Stock OUT (Issue)'!$C$3:$C$302,"JOB-04"))</f>
        <v/>
      </c>
      <c r="H26" s="19" t="str">
        <f>IF($A26="","",SUMIFS('Stock OUT (Issue)'!$G$3:$G$302,'Stock OUT (Issue)'!$D$3:$D$302,$A26,'Stock OUT (Issue)'!$C$3:$C$302,"JOB-05"))</f>
        <v/>
      </c>
      <c r="I26" s="19" t="str">
        <f t="shared" si="1"/>
        <v/>
      </c>
    </row>
    <row r="27" ht="15.75" customHeight="1">
      <c r="A27" s="14" t="str">
        <f>IF('Item Master'!B27="","",'Item Master'!B27)</f>
        <v/>
      </c>
      <c r="B27" s="14" t="str">
        <f>IF($A27="","",'Item Master'!C27)</f>
        <v/>
      </c>
      <c r="C27" s="14" t="str">
        <f>IF($A27="","",'Item Master'!G27)</f>
        <v/>
      </c>
      <c r="D27" s="19" t="str">
        <f>IF($A27="","",SUMIFS('Stock OUT (Issue)'!$G$3:$G$302,'Stock OUT (Issue)'!$D$3:$D$302,$A27,'Stock OUT (Issue)'!$C$3:$C$302,"JOB-01"))</f>
        <v/>
      </c>
      <c r="E27" s="19" t="str">
        <f>IF($A27="","",SUMIFS('Stock OUT (Issue)'!$G$3:$G$302,'Stock OUT (Issue)'!$D$3:$D$302,$A27,'Stock OUT (Issue)'!$C$3:$C$302,"JOB-02"))</f>
        <v/>
      </c>
      <c r="F27" s="19" t="str">
        <f>IF($A27="","",SUMIFS('Stock OUT (Issue)'!$G$3:$G$302,'Stock OUT (Issue)'!$D$3:$D$302,$A27,'Stock OUT (Issue)'!$C$3:$C$302,"JOB-03"))</f>
        <v/>
      </c>
      <c r="G27" s="19" t="str">
        <f>IF($A27="","",SUMIFS('Stock OUT (Issue)'!$G$3:$G$302,'Stock OUT (Issue)'!$D$3:$D$302,$A27,'Stock OUT (Issue)'!$C$3:$C$302,"JOB-04"))</f>
        <v/>
      </c>
      <c r="H27" s="19" t="str">
        <f>IF($A27="","",SUMIFS('Stock OUT (Issue)'!$G$3:$G$302,'Stock OUT (Issue)'!$D$3:$D$302,$A27,'Stock OUT (Issue)'!$C$3:$C$302,"JOB-05"))</f>
        <v/>
      </c>
      <c r="I27" s="19" t="str">
        <f t="shared" si="1"/>
        <v/>
      </c>
    </row>
    <row r="28" ht="15.75" customHeight="1">
      <c r="A28" s="14" t="str">
        <f>IF('Item Master'!B28="","",'Item Master'!B28)</f>
        <v/>
      </c>
      <c r="B28" s="14" t="str">
        <f>IF($A28="","",'Item Master'!C28)</f>
        <v/>
      </c>
      <c r="C28" s="14" t="str">
        <f>IF($A28="","",'Item Master'!G28)</f>
        <v/>
      </c>
      <c r="D28" s="19" t="str">
        <f>IF($A28="","",SUMIFS('Stock OUT (Issue)'!$G$3:$G$302,'Stock OUT (Issue)'!$D$3:$D$302,$A28,'Stock OUT (Issue)'!$C$3:$C$302,"JOB-01"))</f>
        <v/>
      </c>
      <c r="E28" s="19" t="str">
        <f>IF($A28="","",SUMIFS('Stock OUT (Issue)'!$G$3:$G$302,'Stock OUT (Issue)'!$D$3:$D$302,$A28,'Stock OUT (Issue)'!$C$3:$C$302,"JOB-02"))</f>
        <v/>
      </c>
      <c r="F28" s="19" t="str">
        <f>IF($A28="","",SUMIFS('Stock OUT (Issue)'!$G$3:$G$302,'Stock OUT (Issue)'!$D$3:$D$302,$A28,'Stock OUT (Issue)'!$C$3:$C$302,"JOB-03"))</f>
        <v/>
      </c>
      <c r="G28" s="19" t="str">
        <f>IF($A28="","",SUMIFS('Stock OUT (Issue)'!$G$3:$G$302,'Stock OUT (Issue)'!$D$3:$D$302,$A28,'Stock OUT (Issue)'!$C$3:$C$302,"JOB-04"))</f>
        <v/>
      </c>
      <c r="H28" s="19" t="str">
        <f>IF($A28="","",SUMIFS('Stock OUT (Issue)'!$G$3:$G$302,'Stock OUT (Issue)'!$D$3:$D$302,$A28,'Stock OUT (Issue)'!$C$3:$C$302,"JOB-05"))</f>
        <v/>
      </c>
      <c r="I28" s="19" t="str">
        <f t="shared" si="1"/>
        <v/>
      </c>
    </row>
    <row r="29" ht="15.75" customHeight="1">
      <c r="A29" s="14" t="str">
        <f>IF('Item Master'!B29="","",'Item Master'!B29)</f>
        <v/>
      </c>
      <c r="B29" s="14" t="str">
        <f>IF($A29="","",'Item Master'!C29)</f>
        <v/>
      </c>
      <c r="C29" s="14" t="str">
        <f>IF($A29="","",'Item Master'!G29)</f>
        <v/>
      </c>
      <c r="D29" s="19" t="str">
        <f>IF($A29="","",SUMIFS('Stock OUT (Issue)'!$G$3:$G$302,'Stock OUT (Issue)'!$D$3:$D$302,$A29,'Stock OUT (Issue)'!$C$3:$C$302,"JOB-01"))</f>
        <v/>
      </c>
      <c r="E29" s="19" t="str">
        <f>IF($A29="","",SUMIFS('Stock OUT (Issue)'!$G$3:$G$302,'Stock OUT (Issue)'!$D$3:$D$302,$A29,'Stock OUT (Issue)'!$C$3:$C$302,"JOB-02"))</f>
        <v/>
      </c>
      <c r="F29" s="19" t="str">
        <f>IF($A29="","",SUMIFS('Stock OUT (Issue)'!$G$3:$G$302,'Stock OUT (Issue)'!$D$3:$D$302,$A29,'Stock OUT (Issue)'!$C$3:$C$302,"JOB-03"))</f>
        <v/>
      </c>
      <c r="G29" s="19" t="str">
        <f>IF($A29="","",SUMIFS('Stock OUT (Issue)'!$G$3:$G$302,'Stock OUT (Issue)'!$D$3:$D$302,$A29,'Stock OUT (Issue)'!$C$3:$C$302,"JOB-04"))</f>
        <v/>
      </c>
      <c r="H29" s="19" t="str">
        <f>IF($A29="","",SUMIFS('Stock OUT (Issue)'!$G$3:$G$302,'Stock OUT (Issue)'!$D$3:$D$302,$A29,'Stock OUT (Issue)'!$C$3:$C$302,"JOB-05"))</f>
        <v/>
      </c>
      <c r="I29" s="19" t="str">
        <f t="shared" si="1"/>
        <v/>
      </c>
    </row>
    <row r="30" ht="15.75" customHeight="1">
      <c r="A30" s="14" t="str">
        <f>IF('Item Master'!B30="","",'Item Master'!B30)</f>
        <v/>
      </c>
      <c r="B30" s="14" t="str">
        <f>IF($A30="","",'Item Master'!C30)</f>
        <v/>
      </c>
      <c r="C30" s="14" t="str">
        <f>IF($A30="","",'Item Master'!G30)</f>
        <v/>
      </c>
      <c r="D30" s="19" t="str">
        <f>IF($A30="","",SUMIFS('Stock OUT (Issue)'!$G$3:$G$302,'Stock OUT (Issue)'!$D$3:$D$302,$A30,'Stock OUT (Issue)'!$C$3:$C$302,"JOB-01"))</f>
        <v/>
      </c>
      <c r="E30" s="19" t="str">
        <f>IF($A30="","",SUMIFS('Stock OUT (Issue)'!$G$3:$G$302,'Stock OUT (Issue)'!$D$3:$D$302,$A30,'Stock OUT (Issue)'!$C$3:$C$302,"JOB-02"))</f>
        <v/>
      </c>
      <c r="F30" s="19" t="str">
        <f>IF($A30="","",SUMIFS('Stock OUT (Issue)'!$G$3:$G$302,'Stock OUT (Issue)'!$D$3:$D$302,$A30,'Stock OUT (Issue)'!$C$3:$C$302,"JOB-03"))</f>
        <v/>
      </c>
      <c r="G30" s="19" t="str">
        <f>IF($A30="","",SUMIFS('Stock OUT (Issue)'!$G$3:$G$302,'Stock OUT (Issue)'!$D$3:$D$302,$A30,'Stock OUT (Issue)'!$C$3:$C$302,"JOB-04"))</f>
        <v/>
      </c>
      <c r="H30" s="19" t="str">
        <f>IF($A30="","",SUMIFS('Stock OUT (Issue)'!$G$3:$G$302,'Stock OUT (Issue)'!$D$3:$D$302,$A30,'Stock OUT (Issue)'!$C$3:$C$302,"JOB-05"))</f>
        <v/>
      </c>
      <c r="I30" s="19" t="str">
        <f t="shared" si="1"/>
        <v/>
      </c>
    </row>
    <row r="31" ht="15.75" customHeight="1">
      <c r="A31" s="14" t="str">
        <f>IF('Item Master'!B31="","",'Item Master'!B31)</f>
        <v/>
      </c>
      <c r="B31" s="14" t="str">
        <f>IF($A31="","",'Item Master'!C31)</f>
        <v/>
      </c>
      <c r="C31" s="14" t="str">
        <f>IF($A31="","",'Item Master'!G31)</f>
        <v/>
      </c>
      <c r="D31" s="19" t="str">
        <f>IF($A31="","",SUMIFS('Stock OUT (Issue)'!$G$3:$G$302,'Stock OUT (Issue)'!$D$3:$D$302,$A31,'Stock OUT (Issue)'!$C$3:$C$302,"JOB-01"))</f>
        <v/>
      </c>
      <c r="E31" s="19" t="str">
        <f>IF($A31="","",SUMIFS('Stock OUT (Issue)'!$G$3:$G$302,'Stock OUT (Issue)'!$D$3:$D$302,$A31,'Stock OUT (Issue)'!$C$3:$C$302,"JOB-02"))</f>
        <v/>
      </c>
      <c r="F31" s="19" t="str">
        <f>IF($A31="","",SUMIFS('Stock OUT (Issue)'!$G$3:$G$302,'Stock OUT (Issue)'!$D$3:$D$302,$A31,'Stock OUT (Issue)'!$C$3:$C$302,"JOB-03"))</f>
        <v/>
      </c>
      <c r="G31" s="19" t="str">
        <f>IF($A31="","",SUMIFS('Stock OUT (Issue)'!$G$3:$G$302,'Stock OUT (Issue)'!$D$3:$D$302,$A31,'Stock OUT (Issue)'!$C$3:$C$302,"JOB-04"))</f>
        <v/>
      </c>
      <c r="H31" s="19" t="str">
        <f>IF($A31="","",SUMIFS('Stock OUT (Issue)'!$G$3:$G$302,'Stock OUT (Issue)'!$D$3:$D$302,$A31,'Stock OUT (Issue)'!$C$3:$C$302,"JOB-05"))</f>
        <v/>
      </c>
      <c r="I31" s="19" t="str">
        <f t="shared" si="1"/>
        <v/>
      </c>
    </row>
    <row r="32" ht="15.75" customHeight="1">
      <c r="A32" s="14" t="str">
        <f>IF('Item Master'!B32="","",'Item Master'!B32)</f>
        <v/>
      </c>
      <c r="B32" s="14" t="str">
        <f>IF($A32="","",'Item Master'!C32)</f>
        <v/>
      </c>
      <c r="C32" s="14" t="str">
        <f>IF($A32="","",'Item Master'!G32)</f>
        <v/>
      </c>
      <c r="D32" s="19" t="str">
        <f>IF($A32="","",SUMIFS('Stock OUT (Issue)'!$G$3:$G$302,'Stock OUT (Issue)'!$D$3:$D$302,$A32,'Stock OUT (Issue)'!$C$3:$C$302,"JOB-01"))</f>
        <v/>
      </c>
      <c r="E32" s="19" t="str">
        <f>IF($A32="","",SUMIFS('Stock OUT (Issue)'!$G$3:$G$302,'Stock OUT (Issue)'!$D$3:$D$302,$A32,'Stock OUT (Issue)'!$C$3:$C$302,"JOB-02"))</f>
        <v/>
      </c>
      <c r="F32" s="19" t="str">
        <f>IF($A32="","",SUMIFS('Stock OUT (Issue)'!$G$3:$G$302,'Stock OUT (Issue)'!$D$3:$D$302,$A32,'Stock OUT (Issue)'!$C$3:$C$302,"JOB-03"))</f>
        <v/>
      </c>
      <c r="G32" s="19" t="str">
        <f>IF($A32="","",SUMIFS('Stock OUT (Issue)'!$G$3:$G$302,'Stock OUT (Issue)'!$D$3:$D$302,$A32,'Stock OUT (Issue)'!$C$3:$C$302,"JOB-04"))</f>
        <v/>
      </c>
      <c r="H32" s="19" t="str">
        <f>IF($A32="","",SUMIFS('Stock OUT (Issue)'!$G$3:$G$302,'Stock OUT (Issue)'!$D$3:$D$302,$A32,'Stock OUT (Issue)'!$C$3:$C$302,"JOB-05"))</f>
        <v/>
      </c>
      <c r="I32" s="19" t="str">
        <f t="shared" si="1"/>
        <v/>
      </c>
    </row>
    <row r="33" ht="15.75" customHeight="1">
      <c r="A33" s="14" t="str">
        <f>IF('Item Master'!B33="","",'Item Master'!B33)</f>
        <v/>
      </c>
      <c r="B33" s="14" t="str">
        <f>IF($A33="","",'Item Master'!C33)</f>
        <v/>
      </c>
      <c r="C33" s="14" t="str">
        <f>IF($A33="","",'Item Master'!G33)</f>
        <v/>
      </c>
      <c r="D33" s="19" t="str">
        <f>IF($A33="","",SUMIFS('Stock OUT (Issue)'!$G$3:$G$302,'Stock OUT (Issue)'!$D$3:$D$302,$A33,'Stock OUT (Issue)'!$C$3:$C$302,"JOB-01"))</f>
        <v/>
      </c>
      <c r="E33" s="19" t="str">
        <f>IF($A33="","",SUMIFS('Stock OUT (Issue)'!$G$3:$G$302,'Stock OUT (Issue)'!$D$3:$D$302,$A33,'Stock OUT (Issue)'!$C$3:$C$302,"JOB-02"))</f>
        <v/>
      </c>
      <c r="F33" s="19" t="str">
        <f>IF($A33="","",SUMIFS('Stock OUT (Issue)'!$G$3:$G$302,'Stock OUT (Issue)'!$D$3:$D$302,$A33,'Stock OUT (Issue)'!$C$3:$C$302,"JOB-03"))</f>
        <v/>
      </c>
      <c r="G33" s="19" t="str">
        <f>IF($A33="","",SUMIFS('Stock OUT (Issue)'!$G$3:$G$302,'Stock OUT (Issue)'!$D$3:$D$302,$A33,'Stock OUT (Issue)'!$C$3:$C$302,"JOB-04"))</f>
        <v/>
      </c>
      <c r="H33" s="19" t="str">
        <f>IF($A33="","",SUMIFS('Stock OUT (Issue)'!$G$3:$G$302,'Stock OUT (Issue)'!$D$3:$D$302,$A33,'Stock OUT (Issue)'!$C$3:$C$302,"JOB-05"))</f>
        <v/>
      </c>
      <c r="I33" s="19" t="str">
        <f t="shared" si="1"/>
        <v/>
      </c>
    </row>
    <row r="34" ht="15.75" customHeight="1">
      <c r="A34" s="14" t="str">
        <f>IF('Item Master'!B34="","",'Item Master'!B34)</f>
        <v/>
      </c>
      <c r="B34" s="14" t="str">
        <f>IF($A34="","",'Item Master'!C34)</f>
        <v/>
      </c>
      <c r="C34" s="14" t="str">
        <f>IF($A34="","",'Item Master'!G34)</f>
        <v/>
      </c>
      <c r="D34" s="19" t="str">
        <f>IF($A34="","",SUMIFS('Stock OUT (Issue)'!$G$3:$G$302,'Stock OUT (Issue)'!$D$3:$D$302,$A34,'Stock OUT (Issue)'!$C$3:$C$302,"JOB-01"))</f>
        <v/>
      </c>
      <c r="E34" s="19" t="str">
        <f>IF($A34="","",SUMIFS('Stock OUT (Issue)'!$G$3:$G$302,'Stock OUT (Issue)'!$D$3:$D$302,$A34,'Stock OUT (Issue)'!$C$3:$C$302,"JOB-02"))</f>
        <v/>
      </c>
      <c r="F34" s="19" t="str">
        <f>IF($A34="","",SUMIFS('Stock OUT (Issue)'!$G$3:$G$302,'Stock OUT (Issue)'!$D$3:$D$302,$A34,'Stock OUT (Issue)'!$C$3:$C$302,"JOB-03"))</f>
        <v/>
      </c>
      <c r="G34" s="19" t="str">
        <f>IF($A34="","",SUMIFS('Stock OUT (Issue)'!$G$3:$G$302,'Stock OUT (Issue)'!$D$3:$D$302,$A34,'Stock OUT (Issue)'!$C$3:$C$302,"JOB-04"))</f>
        <v/>
      </c>
      <c r="H34" s="19" t="str">
        <f>IF($A34="","",SUMIFS('Stock OUT (Issue)'!$G$3:$G$302,'Stock OUT (Issue)'!$D$3:$D$302,$A34,'Stock OUT (Issue)'!$C$3:$C$302,"JOB-05"))</f>
        <v/>
      </c>
      <c r="I34" s="19" t="str">
        <f t="shared" si="1"/>
        <v/>
      </c>
    </row>
    <row r="35" ht="15.75" customHeight="1">
      <c r="A35" s="14" t="str">
        <f>IF('Item Master'!B35="","",'Item Master'!B35)</f>
        <v/>
      </c>
      <c r="B35" s="14" t="str">
        <f>IF($A35="","",'Item Master'!C35)</f>
        <v/>
      </c>
      <c r="C35" s="14" t="str">
        <f>IF($A35="","",'Item Master'!G35)</f>
        <v/>
      </c>
      <c r="D35" s="19" t="str">
        <f>IF($A35="","",SUMIFS('Stock OUT (Issue)'!$G$3:$G$302,'Stock OUT (Issue)'!$D$3:$D$302,$A35,'Stock OUT (Issue)'!$C$3:$C$302,"JOB-01"))</f>
        <v/>
      </c>
      <c r="E35" s="19" t="str">
        <f>IF($A35="","",SUMIFS('Stock OUT (Issue)'!$G$3:$G$302,'Stock OUT (Issue)'!$D$3:$D$302,$A35,'Stock OUT (Issue)'!$C$3:$C$302,"JOB-02"))</f>
        <v/>
      </c>
      <c r="F35" s="19" t="str">
        <f>IF($A35="","",SUMIFS('Stock OUT (Issue)'!$G$3:$G$302,'Stock OUT (Issue)'!$D$3:$D$302,$A35,'Stock OUT (Issue)'!$C$3:$C$302,"JOB-03"))</f>
        <v/>
      </c>
      <c r="G35" s="19" t="str">
        <f>IF($A35="","",SUMIFS('Stock OUT (Issue)'!$G$3:$G$302,'Stock OUT (Issue)'!$D$3:$D$302,$A35,'Stock OUT (Issue)'!$C$3:$C$302,"JOB-04"))</f>
        <v/>
      </c>
      <c r="H35" s="19" t="str">
        <f>IF($A35="","",SUMIFS('Stock OUT (Issue)'!$G$3:$G$302,'Stock OUT (Issue)'!$D$3:$D$302,$A35,'Stock OUT (Issue)'!$C$3:$C$302,"JOB-05"))</f>
        <v/>
      </c>
      <c r="I35" s="19" t="str">
        <f t="shared" si="1"/>
        <v/>
      </c>
    </row>
    <row r="36" ht="15.75" customHeight="1">
      <c r="A36" s="14" t="str">
        <f>IF('Item Master'!B36="","",'Item Master'!B36)</f>
        <v/>
      </c>
      <c r="B36" s="14" t="str">
        <f>IF($A36="","",'Item Master'!C36)</f>
        <v/>
      </c>
      <c r="C36" s="14" t="str">
        <f>IF($A36="","",'Item Master'!G36)</f>
        <v/>
      </c>
      <c r="D36" s="19" t="str">
        <f>IF($A36="","",SUMIFS('Stock OUT (Issue)'!$G$3:$G$302,'Stock OUT (Issue)'!$D$3:$D$302,$A36,'Stock OUT (Issue)'!$C$3:$C$302,"JOB-01"))</f>
        <v/>
      </c>
      <c r="E36" s="19" t="str">
        <f>IF($A36="","",SUMIFS('Stock OUT (Issue)'!$G$3:$G$302,'Stock OUT (Issue)'!$D$3:$D$302,$A36,'Stock OUT (Issue)'!$C$3:$C$302,"JOB-02"))</f>
        <v/>
      </c>
      <c r="F36" s="19" t="str">
        <f>IF($A36="","",SUMIFS('Stock OUT (Issue)'!$G$3:$G$302,'Stock OUT (Issue)'!$D$3:$D$302,$A36,'Stock OUT (Issue)'!$C$3:$C$302,"JOB-03"))</f>
        <v/>
      </c>
      <c r="G36" s="19" t="str">
        <f>IF($A36="","",SUMIFS('Stock OUT (Issue)'!$G$3:$G$302,'Stock OUT (Issue)'!$D$3:$D$302,$A36,'Stock OUT (Issue)'!$C$3:$C$302,"JOB-04"))</f>
        <v/>
      </c>
      <c r="H36" s="19" t="str">
        <f>IF($A36="","",SUMIFS('Stock OUT (Issue)'!$G$3:$G$302,'Stock OUT (Issue)'!$D$3:$D$302,$A36,'Stock OUT (Issue)'!$C$3:$C$302,"JOB-05"))</f>
        <v/>
      </c>
      <c r="I36" s="19" t="str">
        <f t="shared" si="1"/>
        <v/>
      </c>
    </row>
    <row r="37" ht="15.75" customHeight="1">
      <c r="A37" s="14" t="str">
        <f>IF('Item Master'!B37="","",'Item Master'!B37)</f>
        <v/>
      </c>
      <c r="B37" s="14" t="str">
        <f>IF($A37="","",'Item Master'!C37)</f>
        <v/>
      </c>
      <c r="C37" s="14" t="str">
        <f>IF($A37="","",'Item Master'!G37)</f>
        <v/>
      </c>
      <c r="D37" s="19" t="str">
        <f>IF($A37="","",SUMIFS('Stock OUT (Issue)'!$G$3:$G$302,'Stock OUT (Issue)'!$D$3:$D$302,$A37,'Stock OUT (Issue)'!$C$3:$C$302,"JOB-01"))</f>
        <v/>
      </c>
      <c r="E37" s="19" t="str">
        <f>IF($A37="","",SUMIFS('Stock OUT (Issue)'!$G$3:$G$302,'Stock OUT (Issue)'!$D$3:$D$302,$A37,'Stock OUT (Issue)'!$C$3:$C$302,"JOB-02"))</f>
        <v/>
      </c>
      <c r="F37" s="19" t="str">
        <f>IF($A37="","",SUMIFS('Stock OUT (Issue)'!$G$3:$G$302,'Stock OUT (Issue)'!$D$3:$D$302,$A37,'Stock OUT (Issue)'!$C$3:$C$302,"JOB-03"))</f>
        <v/>
      </c>
      <c r="G37" s="19" t="str">
        <f>IF($A37="","",SUMIFS('Stock OUT (Issue)'!$G$3:$G$302,'Stock OUT (Issue)'!$D$3:$D$302,$A37,'Stock OUT (Issue)'!$C$3:$C$302,"JOB-04"))</f>
        <v/>
      </c>
      <c r="H37" s="19" t="str">
        <f>IF($A37="","",SUMIFS('Stock OUT (Issue)'!$G$3:$G$302,'Stock OUT (Issue)'!$D$3:$D$302,$A37,'Stock OUT (Issue)'!$C$3:$C$302,"JOB-05"))</f>
        <v/>
      </c>
      <c r="I37" s="19" t="str">
        <f t="shared" si="1"/>
        <v/>
      </c>
    </row>
    <row r="38" ht="15.75" customHeight="1">
      <c r="A38" s="14" t="str">
        <f>IF('Item Master'!B38="","",'Item Master'!B38)</f>
        <v/>
      </c>
      <c r="B38" s="14" t="str">
        <f>IF($A38="","",'Item Master'!C38)</f>
        <v/>
      </c>
      <c r="C38" s="14" t="str">
        <f>IF($A38="","",'Item Master'!G38)</f>
        <v/>
      </c>
      <c r="D38" s="19" t="str">
        <f>IF($A38="","",SUMIFS('Stock OUT (Issue)'!$G$3:$G$302,'Stock OUT (Issue)'!$D$3:$D$302,$A38,'Stock OUT (Issue)'!$C$3:$C$302,"JOB-01"))</f>
        <v/>
      </c>
      <c r="E38" s="19" t="str">
        <f>IF($A38="","",SUMIFS('Stock OUT (Issue)'!$G$3:$G$302,'Stock OUT (Issue)'!$D$3:$D$302,$A38,'Stock OUT (Issue)'!$C$3:$C$302,"JOB-02"))</f>
        <v/>
      </c>
      <c r="F38" s="19" t="str">
        <f>IF($A38="","",SUMIFS('Stock OUT (Issue)'!$G$3:$G$302,'Stock OUT (Issue)'!$D$3:$D$302,$A38,'Stock OUT (Issue)'!$C$3:$C$302,"JOB-03"))</f>
        <v/>
      </c>
      <c r="G38" s="19" t="str">
        <f>IF($A38="","",SUMIFS('Stock OUT (Issue)'!$G$3:$G$302,'Stock OUT (Issue)'!$D$3:$D$302,$A38,'Stock OUT (Issue)'!$C$3:$C$302,"JOB-04"))</f>
        <v/>
      </c>
      <c r="H38" s="19" t="str">
        <f>IF($A38="","",SUMIFS('Stock OUT (Issue)'!$G$3:$G$302,'Stock OUT (Issue)'!$D$3:$D$302,$A38,'Stock OUT (Issue)'!$C$3:$C$302,"JOB-05"))</f>
        <v/>
      </c>
      <c r="I38" s="19" t="str">
        <f t="shared" si="1"/>
        <v/>
      </c>
    </row>
    <row r="39" ht="15.75" customHeight="1">
      <c r="A39" s="14" t="str">
        <f>IF('Item Master'!B39="","",'Item Master'!B39)</f>
        <v/>
      </c>
      <c r="B39" s="14" t="str">
        <f>IF($A39="","",'Item Master'!C39)</f>
        <v/>
      </c>
      <c r="C39" s="14" t="str">
        <f>IF($A39="","",'Item Master'!G39)</f>
        <v/>
      </c>
      <c r="D39" s="19" t="str">
        <f>IF($A39="","",SUMIFS('Stock OUT (Issue)'!$G$3:$G$302,'Stock OUT (Issue)'!$D$3:$D$302,$A39,'Stock OUT (Issue)'!$C$3:$C$302,"JOB-01"))</f>
        <v/>
      </c>
      <c r="E39" s="19" t="str">
        <f>IF($A39="","",SUMIFS('Stock OUT (Issue)'!$G$3:$G$302,'Stock OUT (Issue)'!$D$3:$D$302,$A39,'Stock OUT (Issue)'!$C$3:$C$302,"JOB-02"))</f>
        <v/>
      </c>
      <c r="F39" s="19" t="str">
        <f>IF($A39="","",SUMIFS('Stock OUT (Issue)'!$G$3:$G$302,'Stock OUT (Issue)'!$D$3:$D$302,$A39,'Stock OUT (Issue)'!$C$3:$C$302,"JOB-03"))</f>
        <v/>
      </c>
      <c r="G39" s="19" t="str">
        <f>IF($A39="","",SUMIFS('Stock OUT (Issue)'!$G$3:$G$302,'Stock OUT (Issue)'!$D$3:$D$302,$A39,'Stock OUT (Issue)'!$C$3:$C$302,"JOB-04"))</f>
        <v/>
      </c>
      <c r="H39" s="19" t="str">
        <f>IF($A39="","",SUMIFS('Stock OUT (Issue)'!$G$3:$G$302,'Stock OUT (Issue)'!$D$3:$D$302,$A39,'Stock OUT (Issue)'!$C$3:$C$302,"JOB-05"))</f>
        <v/>
      </c>
      <c r="I39" s="19" t="str">
        <f t="shared" si="1"/>
        <v/>
      </c>
    </row>
    <row r="40" ht="15.75" customHeight="1">
      <c r="A40" s="14" t="str">
        <f>IF('Item Master'!B40="","",'Item Master'!B40)</f>
        <v/>
      </c>
      <c r="B40" s="14" t="str">
        <f>IF($A40="","",'Item Master'!C40)</f>
        <v/>
      </c>
      <c r="C40" s="14" t="str">
        <f>IF($A40="","",'Item Master'!G40)</f>
        <v/>
      </c>
      <c r="D40" s="19" t="str">
        <f>IF($A40="","",SUMIFS('Stock OUT (Issue)'!$G$3:$G$302,'Stock OUT (Issue)'!$D$3:$D$302,$A40,'Stock OUT (Issue)'!$C$3:$C$302,"JOB-01"))</f>
        <v/>
      </c>
      <c r="E40" s="19" t="str">
        <f>IF($A40="","",SUMIFS('Stock OUT (Issue)'!$G$3:$G$302,'Stock OUT (Issue)'!$D$3:$D$302,$A40,'Stock OUT (Issue)'!$C$3:$C$302,"JOB-02"))</f>
        <v/>
      </c>
      <c r="F40" s="19" t="str">
        <f>IF($A40="","",SUMIFS('Stock OUT (Issue)'!$G$3:$G$302,'Stock OUT (Issue)'!$D$3:$D$302,$A40,'Stock OUT (Issue)'!$C$3:$C$302,"JOB-03"))</f>
        <v/>
      </c>
      <c r="G40" s="19" t="str">
        <f>IF($A40="","",SUMIFS('Stock OUT (Issue)'!$G$3:$G$302,'Stock OUT (Issue)'!$D$3:$D$302,$A40,'Stock OUT (Issue)'!$C$3:$C$302,"JOB-04"))</f>
        <v/>
      </c>
      <c r="H40" s="19" t="str">
        <f>IF($A40="","",SUMIFS('Stock OUT (Issue)'!$G$3:$G$302,'Stock OUT (Issue)'!$D$3:$D$302,$A40,'Stock OUT (Issue)'!$C$3:$C$302,"JOB-05"))</f>
        <v/>
      </c>
      <c r="I40" s="19" t="str">
        <f t="shared" si="1"/>
        <v/>
      </c>
    </row>
    <row r="41" ht="15.75" customHeight="1">
      <c r="A41" s="14" t="str">
        <f>IF('Item Master'!B41="","",'Item Master'!B41)</f>
        <v/>
      </c>
      <c r="B41" s="14" t="str">
        <f>IF($A41="","",'Item Master'!C41)</f>
        <v/>
      </c>
      <c r="C41" s="14" t="str">
        <f>IF($A41="","",'Item Master'!G41)</f>
        <v/>
      </c>
      <c r="D41" s="19" t="str">
        <f>IF($A41="","",SUMIFS('Stock OUT (Issue)'!$G$3:$G$302,'Stock OUT (Issue)'!$D$3:$D$302,$A41,'Stock OUT (Issue)'!$C$3:$C$302,"JOB-01"))</f>
        <v/>
      </c>
      <c r="E41" s="19" t="str">
        <f>IF($A41="","",SUMIFS('Stock OUT (Issue)'!$G$3:$G$302,'Stock OUT (Issue)'!$D$3:$D$302,$A41,'Stock OUT (Issue)'!$C$3:$C$302,"JOB-02"))</f>
        <v/>
      </c>
      <c r="F41" s="19" t="str">
        <f>IF($A41="","",SUMIFS('Stock OUT (Issue)'!$G$3:$G$302,'Stock OUT (Issue)'!$D$3:$D$302,$A41,'Stock OUT (Issue)'!$C$3:$C$302,"JOB-03"))</f>
        <v/>
      </c>
      <c r="G41" s="19" t="str">
        <f>IF($A41="","",SUMIFS('Stock OUT (Issue)'!$G$3:$G$302,'Stock OUT (Issue)'!$D$3:$D$302,$A41,'Stock OUT (Issue)'!$C$3:$C$302,"JOB-04"))</f>
        <v/>
      </c>
      <c r="H41" s="19" t="str">
        <f>IF($A41="","",SUMIFS('Stock OUT (Issue)'!$G$3:$G$302,'Stock OUT (Issue)'!$D$3:$D$302,$A41,'Stock OUT (Issue)'!$C$3:$C$302,"JOB-05"))</f>
        <v/>
      </c>
      <c r="I41" s="19" t="str">
        <f t="shared" si="1"/>
        <v/>
      </c>
    </row>
    <row r="42" ht="15.75" customHeight="1">
      <c r="A42" s="14" t="str">
        <f>IF('Item Master'!B42="","",'Item Master'!B42)</f>
        <v/>
      </c>
      <c r="B42" s="14" t="str">
        <f>IF($A42="","",'Item Master'!C42)</f>
        <v/>
      </c>
      <c r="C42" s="14" t="str">
        <f>IF($A42="","",'Item Master'!G42)</f>
        <v/>
      </c>
      <c r="D42" s="19" t="str">
        <f>IF($A42="","",SUMIFS('Stock OUT (Issue)'!$G$3:$G$302,'Stock OUT (Issue)'!$D$3:$D$302,$A42,'Stock OUT (Issue)'!$C$3:$C$302,"JOB-01"))</f>
        <v/>
      </c>
      <c r="E42" s="19" t="str">
        <f>IF($A42="","",SUMIFS('Stock OUT (Issue)'!$G$3:$G$302,'Stock OUT (Issue)'!$D$3:$D$302,$A42,'Stock OUT (Issue)'!$C$3:$C$302,"JOB-02"))</f>
        <v/>
      </c>
      <c r="F42" s="19" t="str">
        <f>IF($A42="","",SUMIFS('Stock OUT (Issue)'!$G$3:$G$302,'Stock OUT (Issue)'!$D$3:$D$302,$A42,'Stock OUT (Issue)'!$C$3:$C$302,"JOB-03"))</f>
        <v/>
      </c>
      <c r="G42" s="19" t="str">
        <f>IF($A42="","",SUMIFS('Stock OUT (Issue)'!$G$3:$G$302,'Stock OUT (Issue)'!$D$3:$D$302,$A42,'Stock OUT (Issue)'!$C$3:$C$302,"JOB-04"))</f>
        <v/>
      </c>
      <c r="H42" s="19" t="str">
        <f>IF($A42="","",SUMIFS('Stock OUT (Issue)'!$G$3:$G$302,'Stock OUT (Issue)'!$D$3:$D$302,$A42,'Stock OUT (Issue)'!$C$3:$C$302,"JOB-05"))</f>
        <v/>
      </c>
      <c r="I42" s="19" t="str">
        <f t="shared" si="1"/>
        <v/>
      </c>
    </row>
    <row r="43" ht="15.75" customHeight="1">
      <c r="A43" s="14" t="str">
        <f>IF('Item Master'!B43="","",'Item Master'!B43)</f>
        <v/>
      </c>
      <c r="B43" s="14" t="str">
        <f>IF($A43="","",'Item Master'!C43)</f>
        <v/>
      </c>
      <c r="C43" s="14" t="str">
        <f>IF($A43="","",'Item Master'!G43)</f>
        <v/>
      </c>
      <c r="D43" s="19" t="str">
        <f>IF($A43="","",SUMIFS('Stock OUT (Issue)'!$G$3:$G$302,'Stock OUT (Issue)'!$D$3:$D$302,$A43,'Stock OUT (Issue)'!$C$3:$C$302,"JOB-01"))</f>
        <v/>
      </c>
      <c r="E43" s="19" t="str">
        <f>IF($A43="","",SUMIFS('Stock OUT (Issue)'!$G$3:$G$302,'Stock OUT (Issue)'!$D$3:$D$302,$A43,'Stock OUT (Issue)'!$C$3:$C$302,"JOB-02"))</f>
        <v/>
      </c>
      <c r="F43" s="19" t="str">
        <f>IF($A43="","",SUMIFS('Stock OUT (Issue)'!$G$3:$G$302,'Stock OUT (Issue)'!$D$3:$D$302,$A43,'Stock OUT (Issue)'!$C$3:$C$302,"JOB-03"))</f>
        <v/>
      </c>
      <c r="G43" s="19" t="str">
        <f>IF($A43="","",SUMIFS('Stock OUT (Issue)'!$G$3:$G$302,'Stock OUT (Issue)'!$D$3:$D$302,$A43,'Stock OUT (Issue)'!$C$3:$C$302,"JOB-04"))</f>
        <v/>
      </c>
      <c r="H43" s="19" t="str">
        <f>IF($A43="","",SUMIFS('Stock OUT (Issue)'!$G$3:$G$302,'Stock OUT (Issue)'!$D$3:$D$302,$A43,'Stock OUT (Issue)'!$C$3:$C$302,"JOB-05"))</f>
        <v/>
      </c>
      <c r="I43" s="19" t="str">
        <f t="shared" si="1"/>
        <v/>
      </c>
    </row>
    <row r="44" ht="15.75" customHeight="1">
      <c r="A44" s="14" t="str">
        <f>IF('Item Master'!B44="","",'Item Master'!B44)</f>
        <v/>
      </c>
      <c r="B44" s="14" t="str">
        <f>IF($A44="","",'Item Master'!C44)</f>
        <v/>
      </c>
      <c r="C44" s="14" t="str">
        <f>IF($A44="","",'Item Master'!G44)</f>
        <v/>
      </c>
      <c r="D44" s="19" t="str">
        <f>IF($A44="","",SUMIFS('Stock OUT (Issue)'!$G$3:$G$302,'Stock OUT (Issue)'!$D$3:$D$302,$A44,'Stock OUT (Issue)'!$C$3:$C$302,"JOB-01"))</f>
        <v/>
      </c>
      <c r="E44" s="19" t="str">
        <f>IF($A44="","",SUMIFS('Stock OUT (Issue)'!$G$3:$G$302,'Stock OUT (Issue)'!$D$3:$D$302,$A44,'Stock OUT (Issue)'!$C$3:$C$302,"JOB-02"))</f>
        <v/>
      </c>
      <c r="F44" s="19" t="str">
        <f>IF($A44="","",SUMIFS('Stock OUT (Issue)'!$G$3:$G$302,'Stock OUT (Issue)'!$D$3:$D$302,$A44,'Stock OUT (Issue)'!$C$3:$C$302,"JOB-03"))</f>
        <v/>
      </c>
      <c r="G44" s="19" t="str">
        <f>IF($A44="","",SUMIFS('Stock OUT (Issue)'!$G$3:$G$302,'Stock OUT (Issue)'!$D$3:$D$302,$A44,'Stock OUT (Issue)'!$C$3:$C$302,"JOB-04"))</f>
        <v/>
      </c>
      <c r="H44" s="19" t="str">
        <f>IF($A44="","",SUMIFS('Stock OUT (Issue)'!$G$3:$G$302,'Stock OUT (Issue)'!$D$3:$D$302,$A44,'Stock OUT (Issue)'!$C$3:$C$302,"JOB-05"))</f>
        <v/>
      </c>
      <c r="I44" s="19" t="str">
        <f t="shared" si="1"/>
        <v/>
      </c>
    </row>
    <row r="45" ht="15.75" customHeight="1">
      <c r="A45" s="14" t="str">
        <f>IF('Item Master'!B45="","",'Item Master'!B45)</f>
        <v/>
      </c>
      <c r="B45" s="14" t="str">
        <f>IF($A45="","",'Item Master'!C45)</f>
        <v/>
      </c>
      <c r="C45" s="14" t="str">
        <f>IF($A45="","",'Item Master'!G45)</f>
        <v/>
      </c>
      <c r="D45" s="19" t="str">
        <f>IF($A45="","",SUMIFS('Stock OUT (Issue)'!$G$3:$G$302,'Stock OUT (Issue)'!$D$3:$D$302,$A45,'Stock OUT (Issue)'!$C$3:$C$302,"JOB-01"))</f>
        <v/>
      </c>
      <c r="E45" s="19" t="str">
        <f>IF($A45="","",SUMIFS('Stock OUT (Issue)'!$G$3:$G$302,'Stock OUT (Issue)'!$D$3:$D$302,$A45,'Stock OUT (Issue)'!$C$3:$C$302,"JOB-02"))</f>
        <v/>
      </c>
      <c r="F45" s="19" t="str">
        <f>IF($A45="","",SUMIFS('Stock OUT (Issue)'!$G$3:$G$302,'Stock OUT (Issue)'!$D$3:$D$302,$A45,'Stock OUT (Issue)'!$C$3:$C$302,"JOB-03"))</f>
        <v/>
      </c>
      <c r="G45" s="19" t="str">
        <f>IF($A45="","",SUMIFS('Stock OUT (Issue)'!$G$3:$G$302,'Stock OUT (Issue)'!$D$3:$D$302,$A45,'Stock OUT (Issue)'!$C$3:$C$302,"JOB-04"))</f>
        <v/>
      </c>
      <c r="H45" s="19" t="str">
        <f>IF($A45="","",SUMIFS('Stock OUT (Issue)'!$G$3:$G$302,'Stock OUT (Issue)'!$D$3:$D$302,$A45,'Stock OUT (Issue)'!$C$3:$C$302,"JOB-05"))</f>
        <v/>
      </c>
      <c r="I45" s="19" t="str">
        <f t="shared" si="1"/>
        <v/>
      </c>
    </row>
    <row r="46" ht="15.75" customHeight="1">
      <c r="A46" s="14" t="str">
        <f>IF('Item Master'!B46="","",'Item Master'!B46)</f>
        <v/>
      </c>
      <c r="B46" s="14" t="str">
        <f>IF($A46="","",'Item Master'!C46)</f>
        <v/>
      </c>
      <c r="C46" s="14" t="str">
        <f>IF($A46="","",'Item Master'!G46)</f>
        <v/>
      </c>
      <c r="D46" s="19" t="str">
        <f>IF($A46="","",SUMIFS('Stock OUT (Issue)'!$G$3:$G$302,'Stock OUT (Issue)'!$D$3:$D$302,$A46,'Stock OUT (Issue)'!$C$3:$C$302,"JOB-01"))</f>
        <v/>
      </c>
      <c r="E46" s="19" t="str">
        <f>IF($A46="","",SUMIFS('Stock OUT (Issue)'!$G$3:$G$302,'Stock OUT (Issue)'!$D$3:$D$302,$A46,'Stock OUT (Issue)'!$C$3:$C$302,"JOB-02"))</f>
        <v/>
      </c>
      <c r="F46" s="19" t="str">
        <f>IF($A46="","",SUMIFS('Stock OUT (Issue)'!$G$3:$G$302,'Stock OUT (Issue)'!$D$3:$D$302,$A46,'Stock OUT (Issue)'!$C$3:$C$302,"JOB-03"))</f>
        <v/>
      </c>
      <c r="G46" s="19" t="str">
        <f>IF($A46="","",SUMIFS('Stock OUT (Issue)'!$G$3:$G$302,'Stock OUT (Issue)'!$D$3:$D$302,$A46,'Stock OUT (Issue)'!$C$3:$C$302,"JOB-04"))</f>
        <v/>
      </c>
      <c r="H46" s="19" t="str">
        <f>IF($A46="","",SUMIFS('Stock OUT (Issue)'!$G$3:$G$302,'Stock OUT (Issue)'!$D$3:$D$302,$A46,'Stock OUT (Issue)'!$C$3:$C$302,"JOB-05"))</f>
        <v/>
      </c>
      <c r="I46" s="19" t="str">
        <f t="shared" si="1"/>
        <v/>
      </c>
    </row>
    <row r="47" ht="15.75" customHeight="1">
      <c r="A47" s="14" t="str">
        <f>IF('Item Master'!B47="","",'Item Master'!B47)</f>
        <v/>
      </c>
      <c r="B47" s="14" t="str">
        <f>IF($A47="","",'Item Master'!C47)</f>
        <v/>
      </c>
      <c r="C47" s="14" t="str">
        <f>IF($A47="","",'Item Master'!G47)</f>
        <v/>
      </c>
      <c r="D47" s="19" t="str">
        <f>IF($A47="","",SUMIFS('Stock OUT (Issue)'!$G$3:$G$302,'Stock OUT (Issue)'!$D$3:$D$302,$A47,'Stock OUT (Issue)'!$C$3:$C$302,"JOB-01"))</f>
        <v/>
      </c>
      <c r="E47" s="19" t="str">
        <f>IF($A47="","",SUMIFS('Stock OUT (Issue)'!$G$3:$G$302,'Stock OUT (Issue)'!$D$3:$D$302,$A47,'Stock OUT (Issue)'!$C$3:$C$302,"JOB-02"))</f>
        <v/>
      </c>
      <c r="F47" s="19" t="str">
        <f>IF($A47="","",SUMIFS('Stock OUT (Issue)'!$G$3:$G$302,'Stock OUT (Issue)'!$D$3:$D$302,$A47,'Stock OUT (Issue)'!$C$3:$C$302,"JOB-03"))</f>
        <v/>
      </c>
      <c r="G47" s="19" t="str">
        <f>IF($A47="","",SUMIFS('Stock OUT (Issue)'!$G$3:$G$302,'Stock OUT (Issue)'!$D$3:$D$302,$A47,'Stock OUT (Issue)'!$C$3:$C$302,"JOB-04"))</f>
        <v/>
      </c>
      <c r="H47" s="19" t="str">
        <f>IF($A47="","",SUMIFS('Stock OUT (Issue)'!$G$3:$G$302,'Stock OUT (Issue)'!$D$3:$D$302,$A47,'Stock OUT (Issue)'!$C$3:$C$302,"JOB-05"))</f>
        <v/>
      </c>
      <c r="I47" s="19" t="str">
        <f t="shared" si="1"/>
        <v/>
      </c>
    </row>
    <row r="48" ht="15.75" customHeight="1">
      <c r="A48" s="14" t="str">
        <f>IF('Item Master'!B48="","",'Item Master'!B48)</f>
        <v/>
      </c>
      <c r="B48" s="14" t="str">
        <f>IF($A48="","",'Item Master'!C48)</f>
        <v/>
      </c>
      <c r="C48" s="14" t="str">
        <f>IF($A48="","",'Item Master'!G48)</f>
        <v/>
      </c>
      <c r="D48" s="19" t="str">
        <f>IF($A48="","",SUMIFS('Stock OUT (Issue)'!$G$3:$G$302,'Stock OUT (Issue)'!$D$3:$D$302,$A48,'Stock OUT (Issue)'!$C$3:$C$302,"JOB-01"))</f>
        <v/>
      </c>
      <c r="E48" s="19" t="str">
        <f>IF($A48="","",SUMIFS('Stock OUT (Issue)'!$G$3:$G$302,'Stock OUT (Issue)'!$D$3:$D$302,$A48,'Stock OUT (Issue)'!$C$3:$C$302,"JOB-02"))</f>
        <v/>
      </c>
      <c r="F48" s="19" t="str">
        <f>IF($A48="","",SUMIFS('Stock OUT (Issue)'!$G$3:$G$302,'Stock OUT (Issue)'!$D$3:$D$302,$A48,'Stock OUT (Issue)'!$C$3:$C$302,"JOB-03"))</f>
        <v/>
      </c>
      <c r="G48" s="19" t="str">
        <f>IF($A48="","",SUMIFS('Stock OUT (Issue)'!$G$3:$G$302,'Stock OUT (Issue)'!$D$3:$D$302,$A48,'Stock OUT (Issue)'!$C$3:$C$302,"JOB-04"))</f>
        <v/>
      </c>
      <c r="H48" s="19" t="str">
        <f>IF($A48="","",SUMIFS('Stock OUT (Issue)'!$G$3:$G$302,'Stock OUT (Issue)'!$D$3:$D$302,$A48,'Stock OUT (Issue)'!$C$3:$C$302,"JOB-05"))</f>
        <v/>
      </c>
      <c r="I48" s="19" t="str">
        <f t="shared" si="1"/>
        <v/>
      </c>
    </row>
    <row r="49" ht="15.75" customHeight="1">
      <c r="A49" s="14" t="str">
        <f>IF('Item Master'!B49="","",'Item Master'!B49)</f>
        <v/>
      </c>
      <c r="B49" s="14" t="str">
        <f>IF($A49="","",'Item Master'!C49)</f>
        <v/>
      </c>
      <c r="C49" s="14" t="str">
        <f>IF($A49="","",'Item Master'!G49)</f>
        <v/>
      </c>
      <c r="D49" s="19" t="str">
        <f>IF($A49="","",SUMIFS('Stock OUT (Issue)'!$G$3:$G$302,'Stock OUT (Issue)'!$D$3:$D$302,$A49,'Stock OUT (Issue)'!$C$3:$C$302,"JOB-01"))</f>
        <v/>
      </c>
      <c r="E49" s="19" t="str">
        <f>IF($A49="","",SUMIFS('Stock OUT (Issue)'!$G$3:$G$302,'Stock OUT (Issue)'!$D$3:$D$302,$A49,'Stock OUT (Issue)'!$C$3:$C$302,"JOB-02"))</f>
        <v/>
      </c>
      <c r="F49" s="19" t="str">
        <f>IF($A49="","",SUMIFS('Stock OUT (Issue)'!$G$3:$G$302,'Stock OUT (Issue)'!$D$3:$D$302,$A49,'Stock OUT (Issue)'!$C$3:$C$302,"JOB-03"))</f>
        <v/>
      </c>
      <c r="G49" s="19" t="str">
        <f>IF($A49="","",SUMIFS('Stock OUT (Issue)'!$G$3:$G$302,'Stock OUT (Issue)'!$D$3:$D$302,$A49,'Stock OUT (Issue)'!$C$3:$C$302,"JOB-04"))</f>
        <v/>
      </c>
      <c r="H49" s="19" t="str">
        <f>IF($A49="","",SUMIFS('Stock OUT (Issue)'!$G$3:$G$302,'Stock OUT (Issue)'!$D$3:$D$302,$A49,'Stock OUT (Issue)'!$C$3:$C$302,"JOB-05"))</f>
        <v/>
      </c>
      <c r="I49" s="19" t="str">
        <f t="shared" si="1"/>
        <v/>
      </c>
    </row>
    <row r="50" ht="15.75" customHeight="1">
      <c r="A50" s="14" t="str">
        <f>IF('Item Master'!B50="","",'Item Master'!B50)</f>
        <v/>
      </c>
      <c r="B50" s="14" t="str">
        <f>IF($A50="","",'Item Master'!C50)</f>
        <v/>
      </c>
      <c r="C50" s="14" t="str">
        <f>IF($A50="","",'Item Master'!G50)</f>
        <v/>
      </c>
      <c r="D50" s="19" t="str">
        <f>IF($A50="","",SUMIFS('Stock OUT (Issue)'!$G$3:$G$302,'Stock OUT (Issue)'!$D$3:$D$302,$A50,'Stock OUT (Issue)'!$C$3:$C$302,"JOB-01"))</f>
        <v/>
      </c>
      <c r="E50" s="19" t="str">
        <f>IF($A50="","",SUMIFS('Stock OUT (Issue)'!$G$3:$G$302,'Stock OUT (Issue)'!$D$3:$D$302,$A50,'Stock OUT (Issue)'!$C$3:$C$302,"JOB-02"))</f>
        <v/>
      </c>
      <c r="F50" s="19" t="str">
        <f>IF($A50="","",SUMIFS('Stock OUT (Issue)'!$G$3:$G$302,'Stock OUT (Issue)'!$D$3:$D$302,$A50,'Stock OUT (Issue)'!$C$3:$C$302,"JOB-03"))</f>
        <v/>
      </c>
      <c r="G50" s="19" t="str">
        <f>IF($A50="","",SUMIFS('Stock OUT (Issue)'!$G$3:$G$302,'Stock OUT (Issue)'!$D$3:$D$302,$A50,'Stock OUT (Issue)'!$C$3:$C$302,"JOB-04"))</f>
        <v/>
      </c>
      <c r="H50" s="19" t="str">
        <f>IF($A50="","",SUMIFS('Stock OUT (Issue)'!$G$3:$G$302,'Stock OUT (Issue)'!$D$3:$D$302,$A50,'Stock OUT (Issue)'!$C$3:$C$302,"JOB-05"))</f>
        <v/>
      </c>
      <c r="I50" s="19" t="str">
        <f t="shared" si="1"/>
        <v/>
      </c>
    </row>
    <row r="51" ht="15.75" customHeight="1">
      <c r="A51" s="14" t="str">
        <f>IF('Item Master'!B51="","",'Item Master'!B51)</f>
        <v/>
      </c>
      <c r="B51" s="14" t="str">
        <f>IF($A51="","",'Item Master'!C51)</f>
        <v/>
      </c>
      <c r="C51" s="14" t="str">
        <f>IF($A51="","",'Item Master'!G51)</f>
        <v/>
      </c>
      <c r="D51" s="19" t="str">
        <f>IF($A51="","",SUMIFS('Stock OUT (Issue)'!$G$3:$G$302,'Stock OUT (Issue)'!$D$3:$D$302,$A51,'Stock OUT (Issue)'!$C$3:$C$302,"JOB-01"))</f>
        <v/>
      </c>
      <c r="E51" s="19" t="str">
        <f>IF($A51="","",SUMIFS('Stock OUT (Issue)'!$G$3:$G$302,'Stock OUT (Issue)'!$D$3:$D$302,$A51,'Stock OUT (Issue)'!$C$3:$C$302,"JOB-02"))</f>
        <v/>
      </c>
      <c r="F51" s="19" t="str">
        <f>IF($A51="","",SUMIFS('Stock OUT (Issue)'!$G$3:$G$302,'Stock OUT (Issue)'!$D$3:$D$302,$A51,'Stock OUT (Issue)'!$C$3:$C$302,"JOB-03"))</f>
        <v/>
      </c>
      <c r="G51" s="19" t="str">
        <f>IF($A51="","",SUMIFS('Stock OUT (Issue)'!$G$3:$G$302,'Stock OUT (Issue)'!$D$3:$D$302,$A51,'Stock OUT (Issue)'!$C$3:$C$302,"JOB-04"))</f>
        <v/>
      </c>
      <c r="H51" s="19" t="str">
        <f>IF($A51="","",SUMIFS('Stock OUT (Issue)'!$G$3:$G$302,'Stock OUT (Issue)'!$D$3:$D$302,$A51,'Stock OUT (Issue)'!$C$3:$C$302,"JOB-05"))</f>
        <v/>
      </c>
      <c r="I51" s="19" t="str">
        <f t="shared" si="1"/>
        <v/>
      </c>
    </row>
    <row r="52" ht="15.75" customHeight="1">
      <c r="A52" s="14" t="str">
        <f>IF('Item Master'!B52="","",'Item Master'!B52)</f>
        <v/>
      </c>
      <c r="B52" s="14" t="str">
        <f>IF($A52="","",'Item Master'!C52)</f>
        <v/>
      </c>
      <c r="C52" s="14" t="str">
        <f>IF($A52="","",'Item Master'!G52)</f>
        <v/>
      </c>
      <c r="D52" s="19" t="str">
        <f>IF($A52="","",SUMIFS('Stock OUT (Issue)'!$G$3:$G$302,'Stock OUT (Issue)'!$D$3:$D$302,$A52,'Stock OUT (Issue)'!$C$3:$C$302,"JOB-01"))</f>
        <v/>
      </c>
      <c r="E52" s="19" t="str">
        <f>IF($A52="","",SUMIFS('Stock OUT (Issue)'!$G$3:$G$302,'Stock OUT (Issue)'!$D$3:$D$302,$A52,'Stock OUT (Issue)'!$C$3:$C$302,"JOB-02"))</f>
        <v/>
      </c>
      <c r="F52" s="19" t="str">
        <f>IF($A52="","",SUMIFS('Stock OUT (Issue)'!$G$3:$G$302,'Stock OUT (Issue)'!$D$3:$D$302,$A52,'Stock OUT (Issue)'!$C$3:$C$302,"JOB-03"))</f>
        <v/>
      </c>
      <c r="G52" s="19" t="str">
        <f>IF($A52="","",SUMIFS('Stock OUT (Issue)'!$G$3:$G$302,'Stock OUT (Issue)'!$D$3:$D$302,$A52,'Stock OUT (Issue)'!$C$3:$C$302,"JOB-04"))</f>
        <v/>
      </c>
      <c r="H52" s="19" t="str">
        <f>IF($A52="","",SUMIFS('Stock OUT (Issue)'!$G$3:$G$302,'Stock OUT (Issue)'!$D$3:$D$302,$A52,'Stock OUT (Issue)'!$C$3:$C$302,"JOB-05"))</f>
        <v/>
      </c>
      <c r="I52" s="19" t="str">
        <f t="shared" si="1"/>
        <v/>
      </c>
    </row>
    <row r="53" ht="15.75" customHeight="1">
      <c r="A53" s="14" t="str">
        <f>IF('Item Master'!B53="","",'Item Master'!B53)</f>
        <v/>
      </c>
      <c r="B53" s="14" t="str">
        <f>IF($A53="","",'Item Master'!C53)</f>
        <v/>
      </c>
      <c r="C53" s="14" t="str">
        <f>IF($A53="","",'Item Master'!G53)</f>
        <v/>
      </c>
      <c r="D53" s="19" t="str">
        <f>IF($A53="","",SUMIFS('Stock OUT (Issue)'!$G$3:$G$302,'Stock OUT (Issue)'!$D$3:$D$302,$A53,'Stock OUT (Issue)'!$C$3:$C$302,"JOB-01"))</f>
        <v/>
      </c>
      <c r="E53" s="19" t="str">
        <f>IF($A53="","",SUMIFS('Stock OUT (Issue)'!$G$3:$G$302,'Stock OUT (Issue)'!$D$3:$D$302,$A53,'Stock OUT (Issue)'!$C$3:$C$302,"JOB-02"))</f>
        <v/>
      </c>
      <c r="F53" s="19" t="str">
        <f>IF($A53="","",SUMIFS('Stock OUT (Issue)'!$G$3:$G$302,'Stock OUT (Issue)'!$D$3:$D$302,$A53,'Stock OUT (Issue)'!$C$3:$C$302,"JOB-03"))</f>
        <v/>
      </c>
      <c r="G53" s="19" t="str">
        <f>IF($A53="","",SUMIFS('Stock OUT (Issue)'!$G$3:$G$302,'Stock OUT (Issue)'!$D$3:$D$302,$A53,'Stock OUT (Issue)'!$C$3:$C$302,"JOB-04"))</f>
        <v/>
      </c>
      <c r="H53" s="19" t="str">
        <f>IF($A53="","",SUMIFS('Stock OUT (Issue)'!$G$3:$G$302,'Stock OUT (Issue)'!$D$3:$D$302,$A53,'Stock OUT (Issue)'!$C$3:$C$302,"JOB-05"))</f>
        <v/>
      </c>
      <c r="I53" s="19" t="str">
        <f t="shared" si="1"/>
        <v/>
      </c>
    </row>
    <row r="54" ht="15.75" customHeight="1">
      <c r="A54" s="14" t="str">
        <f>IF('Item Master'!B54="","",'Item Master'!B54)</f>
        <v/>
      </c>
      <c r="B54" s="14" t="str">
        <f>IF($A54="","",'Item Master'!C54)</f>
        <v/>
      </c>
      <c r="C54" s="14" t="str">
        <f>IF($A54="","",'Item Master'!G54)</f>
        <v/>
      </c>
      <c r="D54" s="19" t="str">
        <f>IF($A54="","",SUMIFS('Stock OUT (Issue)'!$G$3:$G$302,'Stock OUT (Issue)'!$D$3:$D$302,$A54,'Stock OUT (Issue)'!$C$3:$C$302,"JOB-01"))</f>
        <v/>
      </c>
      <c r="E54" s="19" t="str">
        <f>IF($A54="","",SUMIFS('Stock OUT (Issue)'!$G$3:$G$302,'Stock OUT (Issue)'!$D$3:$D$302,$A54,'Stock OUT (Issue)'!$C$3:$C$302,"JOB-02"))</f>
        <v/>
      </c>
      <c r="F54" s="19" t="str">
        <f>IF($A54="","",SUMIFS('Stock OUT (Issue)'!$G$3:$G$302,'Stock OUT (Issue)'!$D$3:$D$302,$A54,'Stock OUT (Issue)'!$C$3:$C$302,"JOB-03"))</f>
        <v/>
      </c>
      <c r="G54" s="19" t="str">
        <f>IF($A54="","",SUMIFS('Stock OUT (Issue)'!$G$3:$G$302,'Stock OUT (Issue)'!$D$3:$D$302,$A54,'Stock OUT (Issue)'!$C$3:$C$302,"JOB-04"))</f>
        <v/>
      </c>
      <c r="H54" s="19" t="str">
        <f>IF($A54="","",SUMIFS('Stock OUT (Issue)'!$G$3:$G$302,'Stock OUT (Issue)'!$D$3:$D$302,$A54,'Stock OUT (Issue)'!$C$3:$C$302,"JOB-05"))</f>
        <v/>
      </c>
      <c r="I54" s="19" t="str">
        <f t="shared" si="1"/>
        <v/>
      </c>
    </row>
    <row r="55" ht="15.75" customHeight="1">
      <c r="A55" s="14" t="str">
        <f>IF('Item Master'!B55="","",'Item Master'!B55)</f>
        <v/>
      </c>
      <c r="B55" s="14" t="str">
        <f>IF($A55="","",'Item Master'!C55)</f>
        <v/>
      </c>
      <c r="C55" s="14" t="str">
        <f>IF($A55="","",'Item Master'!G55)</f>
        <v/>
      </c>
      <c r="D55" s="19" t="str">
        <f>IF($A55="","",SUMIFS('Stock OUT (Issue)'!$G$3:$G$302,'Stock OUT (Issue)'!$D$3:$D$302,$A55,'Stock OUT (Issue)'!$C$3:$C$302,"JOB-01"))</f>
        <v/>
      </c>
      <c r="E55" s="19" t="str">
        <f>IF($A55="","",SUMIFS('Stock OUT (Issue)'!$G$3:$G$302,'Stock OUT (Issue)'!$D$3:$D$302,$A55,'Stock OUT (Issue)'!$C$3:$C$302,"JOB-02"))</f>
        <v/>
      </c>
      <c r="F55" s="19" t="str">
        <f>IF($A55="","",SUMIFS('Stock OUT (Issue)'!$G$3:$G$302,'Stock OUT (Issue)'!$D$3:$D$302,$A55,'Stock OUT (Issue)'!$C$3:$C$302,"JOB-03"))</f>
        <v/>
      </c>
      <c r="G55" s="19" t="str">
        <f>IF($A55="","",SUMIFS('Stock OUT (Issue)'!$G$3:$G$302,'Stock OUT (Issue)'!$D$3:$D$302,$A55,'Stock OUT (Issue)'!$C$3:$C$302,"JOB-04"))</f>
        <v/>
      </c>
      <c r="H55" s="19" t="str">
        <f>IF($A55="","",SUMIFS('Stock OUT (Issue)'!$G$3:$G$302,'Stock OUT (Issue)'!$D$3:$D$302,$A55,'Stock OUT (Issue)'!$C$3:$C$302,"JOB-05"))</f>
        <v/>
      </c>
      <c r="I55" s="19" t="str">
        <f t="shared" si="1"/>
        <v/>
      </c>
    </row>
    <row r="56" ht="15.75" customHeight="1">
      <c r="A56" s="14" t="str">
        <f>IF('Item Master'!B56="","",'Item Master'!B56)</f>
        <v/>
      </c>
      <c r="B56" s="14" t="str">
        <f>IF($A56="","",'Item Master'!C56)</f>
        <v/>
      </c>
      <c r="C56" s="14" t="str">
        <f>IF($A56="","",'Item Master'!G56)</f>
        <v/>
      </c>
      <c r="D56" s="19" t="str">
        <f>IF($A56="","",SUMIFS('Stock OUT (Issue)'!$G$3:$G$302,'Stock OUT (Issue)'!$D$3:$D$302,$A56,'Stock OUT (Issue)'!$C$3:$C$302,"JOB-01"))</f>
        <v/>
      </c>
      <c r="E56" s="19" t="str">
        <f>IF($A56="","",SUMIFS('Stock OUT (Issue)'!$G$3:$G$302,'Stock OUT (Issue)'!$D$3:$D$302,$A56,'Stock OUT (Issue)'!$C$3:$C$302,"JOB-02"))</f>
        <v/>
      </c>
      <c r="F56" s="19" t="str">
        <f>IF($A56="","",SUMIFS('Stock OUT (Issue)'!$G$3:$G$302,'Stock OUT (Issue)'!$D$3:$D$302,$A56,'Stock OUT (Issue)'!$C$3:$C$302,"JOB-03"))</f>
        <v/>
      </c>
      <c r="G56" s="19" t="str">
        <f>IF($A56="","",SUMIFS('Stock OUT (Issue)'!$G$3:$G$302,'Stock OUT (Issue)'!$D$3:$D$302,$A56,'Stock OUT (Issue)'!$C$3:$C$302,"JOB-04"))</f>
        <v/>
      </c>
      <c r="H56" s="19" t="str">
        <f>IF($A56="","",SUMIFS('Stock OUT (Issue)'!$G$3:$G$302,'Stock OUT (Issue)'!$D$3:$D$302,$A56,'Stock OUT (Issue)'!$C$3:$C$302,"JOB-05"))</f>
        <v/>
      </c>
      <c r="I56" s="19" t="str">
        <f t="shared" si="1"/>
        <v/>
      </c>
    </row>
    <row r="57" ht="15.75" customHeight="1">
      <c r="A57" s="14" t="str">
        <f>IF('Item Master'!B57="","",'Item Master'!B57)</f>
        <v/>
      </c>
      <c r="B57" s="14" t="str">
        <f>IF($A57="","",'Item Master'!C57)</f>
        <v/>
      </c>
      <c r="C57" s="14" t="str">
        <f>IF($A57="","",'Item Master'!G57)</f>
        <v/>
      </c>
      <c r="D57" s="19" t="str">
        <f>IF($A57="","",SUMIFS('Stock OUT (Issue)'!$G$3:$G$302,'Stock OUT (Issue)'!$D$3:$D$302,$A57,'Stock OUT (Issue)'!$C$3:$C$302,"JOB-01"))</f>
        <v/>
      </c>
      <c r="E57" s="19" t="str">
        <f>IF($A57="","",SUMIFS('Stock OUT (Issue)'!$G$3:$G$302,'Stock OUT (Issue)'!$D$3:$D$302,$A57,'Stock OUT (Issue)'!$C$3:$C$302,"JOB-02"))</f>
        <v/>
      </c>
      <c r="F57" s="19" t="str">
        <f>IF($A57="","",SUMIFS('Stock OUT (Issue)'!$G$3:$G$302,'Stock OUT (Issue)'!$D$3:$D$302,$A57,'Stock OUT (Issue)'!$C$3:$C$302,"JOB-03"))</f>
        <v/>
      </c>
      <c r="G57" s="19" t="str">
        <f>IF($A57="","",SUMIFS('Stock OUT (Issue)'!$G$3:$G$302,'Stock OUT (Issue)'!$D$3:$D$302,$A57,'Stock OUT (Issue)'!$C$3:$C$302,"JOB-04"))</f>
        <v/>
      </c>
      <c r="H57" s="19" t="str">
        <f>IF($A57="","",SUMIFS('Stock OUT (Issue)'!$G$3:$G$302,'Stock OUT (Issue)'!$D$3:$D$302,$A57,'Stock OUT (Issue)'!$C$3:$C$302,"JOB-05"))</f>
        <v/>
      </c>
      <c r="I57" s="19" t="str">
        <f t="shared" si="1"/>
        <v/>
      </c>
    </row>
    <row r="58" ht="15.75" customHeight="1">
      <c r="A58" s="14" t="str">
        <f>IF('Item Master'!B58="","",'Item Master'!B58)</f>
        <v/>
      </c>
      <c r="B58" s="14" t="str">
        <f>IF($A58="","",'Item Master'!C58)</f>
        <v/>
      </c>
      <c r="C58" s="14" t="str">
        <f>IF($A58="","",'Item Master'!G58)</f>
        <v/>
      </c>
      <c r="D58" s="19" t="str">
        <f>IF($A58="","",SUMIFS('Stock OUT (Issue)'!$G$3:$G$302,'Stock OUT (Issue)'!$D$3:$D$302,$A58,'Stock OUT (Issue)'!$C$3:$C$302,"JOB-01"))</f>
        <v/>
      </c>
      <c r="E58" s="19" t="str">
        <f>IF($A58="","",SUMIFS('Stock OUT (Issue)'!$G$3:$G$302,'Stock OUT (Issue)'!$D$3:$D$302,$A58,'Stock OUT (Issue)'!$C$3:$C$302,"JOB-02"))</f>
        <v/>
      </c>
      <c r="F58" s="19" t="str">
        <f>IF($A58="","",SUMIFS('Stock OUT (Issue)'!$G$3:$G$302,'Stock OUT (Issue)'!$D$3:$D$302,$A58,'Stock OUT (Issue)'!$C$3:$C$302,"JOB-03"))</f>
        <v/>
      </c>
      <c r="G58" s="19" t="str">
        <f>IF($A58="","",SUMIFS('Stock OUT (Issue)'!$G$3:$G$302,'Stock OUT (Issue)'!$D$3:$D$302,$A58,'Stock OUT (Issue)'!$C$3:$C$302,"JOB-04"))</f>
        <v/>
      </c>
      <c r="H58" s="19" t="str">
        <f>IF($A58="","",SUMIFS('Stock OUT (Issue)'!$G$3:$G$302,'Stock OUT (Issue)'!$D$3:$D$302,$A58,'Stock OUT (Issue)'!$C$3:$C$302,"JOB-05"))</f>
        <v/>
      </c>
      <c r="I58" s="19" t="str">
        <f t="shared" si="1"/>
        <v/>
      </c>
    </row>
    <row r="59" ht="15.75" customHeight="1">
      <c r="A59" s="14" t="str">
        <f>IF('Item Master'!B59="","",'Item Master'!B59)</f>
        <v/>
      </c>
      <c r="B59" s="14" t="str">
        <f>IF($A59="","",'Item Master'!C59)</f>
        <v/>
      </c>
      <c r="C59" s="14" t="str">
        <f>IF($A59="","",'Item Master'!G59)</f>
        <v/>
      </c>
      <c r="D59" s="19" t="str">
        <f>IF($A59="","",SUMIFS('Stock OUT (Issue)'!$G$3:$G$302,'Stock OUT (Issue)'!$D$3:$D$302,$A59,'Stock OUT (Issue)'!$C$3:$C$302,"JOB-01"))</f>
        <v/>
      </c>
      <c r="E59" s="19" t="str">
        <f>IF($A59="","",SUMIFS('Stock OUT (Issue)'!$G$3:$G$302,'Stock OUT (Issue)'!$D$3:$D$302,$A59,'Stock OUT (Issue)'!$C$3:$C$302,"JOB-02"))</f>
        <v/>
      </c>
      <c r="F59" s="19" t="str">
        <f>IF($A59="","",SUMIFS('Stock OUT (Issue)'!$G$3:$G$302,'Stock OUT (Issue)'!$D$3:$D$302,$A59,'Stock OUT (Issue)'!$C$3:$C$302,"JOB-03"))</f>
        <v/>
      </c>
      <c r="G59" s="19" t="str">
        <f>IF($A59="","",SUMIFS('Stock OUT (Issue)'!$G$3:$G$302,'Stock OUT (Issue)'!$D$3:$D$302,$A59,'Stock OUT (Issue)'!$C$3:$C$302,"JOB-04"))</f>
        <v/>
      </c>
      <c r="H59" s="19" t="str">
        <f>IF($A59="","",SUMIFS('Stock OUT (Issue)'!$G$3:$G$302,'Stock OUT (Issue)'!$D$3:$D$302,$A59,'Stock OUT (Issue)'!$C$3:$C$302,"JOB-05"))</f>
        <v/>
      </c>
      <c r="I59" s="19" t="str">
        <f t="shared" si="1"/>
        <v/>
      </c>
    </row>
    <row r="60" ht="15.75" customHeight="1">
      <c r="A60" s="14" t="str">
        <f>IF('Item Master'!B60="","",'Item Master'!B60)</f>
        <v/>
      </c>
      <c r="B60" s="14" t="str">
        <f>IF($A60="","",'Item Master'!C60)</f>
        <v/>
      </c>
      <c r="C60" s="14" t="str">
        <f>IF($A60="","",'Item Master'!G60)</f>
        <v/>
      </c>
      <c r="D60" s="19" t="str">
        <f>IF($A60="","",SUMIFS('Stock OUT (Issue)'!$G$3:$G$302,'Stock OUT (Issue)'!$D$3:$D$302,$A60,'Stock OUT (Issue)'!$C$3:$C$302,"JOB-01"))</f>
        <v/>
      </c>
      <c r="E60" s="19" t="str">
        <f>IF($A60="","",SUMIFS('Stock OUT (Issue)'!$G$3:$G$302,'Stock OUT (Issue)'!$D$3:$D$302,$A60,'Stock OUT (Issue)'!$C$3:$C$302,"JOB-02"))</f>
        <v/>
      </c>
      <c r="F60" s="19" t="str">
        <f>IF($A60="","",SUMIFS('Stock OUT (Issue)'!$G$3:$G$302,'Stock OUT (Issue)'!$D$3:$D$302,$A60,'Stock OUT (Issue)'!$C$3:$C$302,"JOB-03"))</f>
        <v/>
      </c>
      <c r="G60" s="19" t="str">
        <f>IF($A60="","",SUMIFS('Stock OUT (Issue)'!$G$3:$G$302,'Stock OUT (Issue)'!$D$3:$D$302,$A60,'Stock OUT (Issue)'!$C$3:$C$302,"JOB-04"))</f>
        <v/>
      </c>
      <c r="H60" s="19" t="str">
        <f>IF($A60="","",SUMIFS('Stock OUT (Issue)'!$G$3:$G$302,'Stock OUT (Issue)'!$D$3:$D$302,$A60,'Stock OUT (Issue)'!$C$3:$C$302,"JOB-05"))</f>
        <v/>
      </c>
      <c r="I60" s="19" t="str">
        <f t="shared" si="1"/>
        <v/>
      </c>
    </row>
    <row r="61" ht="15.75" customHeight="1">
      <c r="A61" s="14" t="str">
        <f>IF('Item Master'!B61="","",'Item Master'!B61)</f>
        <v/>
      </c>
      <c r="B61" s="14" t="str">
        <f>IF($A61="","",'Item Master'!C61)</f>
        <v/>
      </c>
      <c r="C61" s="14" t="str">
        <f>IF($A61="","",'Item Master'!G61)</f>
        <v/>
      </c>
      <c r="D61" s="19" t="str">
        <f>IF($A61="","",SUMIFS('Stock OUT (Issue)'!$G$3:$G$302,'Stock OUT (Issue)'!$D$3:$D$302,$A61,'Stock OUT (Issue)'!$C$3:$C$302,"JOB-01"))</f>
        <v/>
      </c>
      <c r="E61" s="19" t="str">
        <f>IF($A61="","",SUMIFS('Stock OUT (Issue)'!$G$3:$G$302,'Stock OUT (Issue)'!$D$3:$D$302,$A61,'Stock OUT (Issue)'!$C$3:$C$302,"JOB-02"))</f>
        <v/>
      </c>
      <c r="F61" s="19" t="str">
        <f>IF($A61="","",SUMIFS('Stock OUT (Issue)'!$G$3:$G$302,'Stock OUT (Issue)'!$D$3:$D$302,$A61,'Stock OUT (Issue)'!$C$3:$C$302,"JOB-03"))</f>
        <v/>
      </c>
      <c r="G61" s="19" t="str">
        <f>IF($A61="","",SUMIFS('Stock OUT (Issue)'!$G$3:$G$302,'Stock OUT (Issue)'!$D$3:$D$302,$A61,'Stock OUT (Issue)'!$C$3:$C$302,"JOB-04"))</f>
        <v/>
      </c>
      <c r="H61" s="19" t="str">
        <f>IF($A61="","",SUMIFS('Stock OUT (Issue)'!$G$3:$G$302,'Stock OUT (Issue)'!$D$3:$D$302,$A61,'Stock OUT (Issue)'!$C$3:$C$302,"JOB-05"))</f>
        <v/>
      </c>
      <c r="I61" s="19" t="str">
        <f t="shared" si="1"/>
        <v/>
      </c>
    </row>
    <row r="62" ht="15.75" customHeight="1">
      <c r="A62" s="14" t="str">
        <f>IF('Item Master'!B62="","",'Item Master'!B62)</f>
        <v/>
      </c>
      <c r="B62" s="14" t="str">
        <f>IF($A62="","",'Item Master'!C62)</f>
        <v/>
      </c>
      <c r="C62" s="14" t="str">
        <f>IF($A62="","",'Item Master'!G62)</f>
        <v/>
      </c>
      <c r="D62" s="19" t="str">
        <f>IF($A62="","",SUMIFS('Stock OUT (Issue)'!$G$3:$G$302,'Stock OUT (Issue)'!$D$3:$D$302,$A62,'Stock OUT (Issue)'!$C$3:$C$302,"JOB-01"))</f>
        <v/>
      </c>
      <c r="E62" s="19" t="str">
        <f>IF($A62="","",SUMIFS('Stock OUT (Issue)'!$G$3:$G$302,'Stock OUT (Issue)'!$D$3:$D$302,$A62,'Stock OUT (Issue)'!$C$3:$C$302,"JOB-02"))</f>
        <v/>
      </c>
      <c r="F62" s="19" t="str">
        <f>IF($A62="","",SUMIFS('Stock OUT (Issue)'!$G$3:$G$302,'Stock OUT (Issue)'!$D$3:$D$302,$A62,'Stock OUT (Issue)'!$C$3:$C$302,"JOB-03"))</f>
        <v/>
      </c>
      <c r="G62" s="19" t="str">
        <f>IF($A62="","",SUMIFS('Stock OUT (Issue)'!$G$3:$G$302,'Stock OUT (Issue)'!$D$3:$D$302,$A62,'Stock OUT (Issue)'!$C$3:$C$302,"JOB-04"))</f>
        <v/>
      </c>
      <c r="H62" s="19" t="str">
        <f>IF($A62="","",SUMIFS('Stock OUT (Issue)'!$G$3:$G$302,'Stock OUT (Issue)'!$D$3:$D$302,$A62,'Stock OUT (Issue)'!$C$3:$C$302,"JOB-05"))</f>
        <v/>
      </c>
      <c r="I62" s="19" t="str">
        <f t="shared" si="1"/>
        <v/>
      </c>
    </row>
    <row r="63" ht="15.75" customHeight="1">
      <c r="A63" s="14" t="str">
        <f>IF('Item Master'!B63="","",'Item Master'!B63)</f>
        <v/>
      </c>
      <c r="B63" s="14" t="str">
        <f>IF($A63="","",'Item Master'!C63)</f>
        <v/>
      </c>
      <c r="C63" s="14" t="str">
        <f>IF($A63="","",'Item Master'!G63)</f>
        <v/>
      </c>
      <c r="D63" s="19" t="str">
        <f>IF($A63="","",SUMIFS('Stock OUT (Issue)'!$G$3:$G$302,'Stock OUT (Issue)'!$D$3:$D$302,$A63,'Stock OUT (Issue)'!$C$3:$C$302,"JOB-01"))</f>
        <v/>
      </c>
      <c r="E63" s="19" t="str">
        <f>IF($A63="","",SUMIFS('Stock OUT (Issue)'!$G$3:$G$302,'Stock OUT (Issue)'!$D$3:$D$302,$A63,'Stock OUT (Issue)'!$C$3:$C$302,"JOB-02"))</f>
        <v/>
      </c>
      <c r="F63" s="19" t="str">
        <f>IF($A63="","",SUMIFS('Stock OUT (Issue)'!$G$3:$G$302,'Stock OUT (Issue)'!$D$3:$D$302,$A63,'Stock OUT (Issue)'!$C$3:$C$302,"JOB-03"))</f>
        <v/>
      </c>
      <c r="G63" s="19" t="str">
        <f>IF($A63="","",SUMIFS('Stock OUT (Issue)'!$G$3:$G$302,'Stock OUT (Issue)'!$D$3:$D$302,$A63,'Stock OUT (Issue)'!$C$3:$C$302,"JOB-04"))</f>
        <v/>
      </c>
      <c r="H63" s="19" t="str">
        <f>IF($A63="","",SUMIFS('Stock OUT (Issue)'!$G$3:$G$302,'Stock OUT (Issue)'!$D$3:$D$302,$A63,'Stock OUT (Issue)'!$C$3:$C$302,"JOB-05"))</f>
        <v/>
      </c>
      <c r="I63" s="19" t="str">
        <f t="shared" si="1"/>
        <v/>
      </c>
    </row>
    <row r="64" ht="15.75" customHeight="1">
      <c r="A64" s="14" t="str">
        <f>IF('Item Master'!B64="","",'Item Master'!B64)</f>
        <v/>
      </c>
      <c r="B64" s="14" t="str">
        <f>IF($A64="","",'Item Master'!C64)</f>
        <v/>
      </c>
      <c r="C64" s="14" t="str">
        <f>IF($A64="","",'Item Master'!G64)</f>
        <v/>
      </c>
      <c r="D64" s="19" t="str">
        <f>IF($A64="","",SUMIFS('Stock OUT (Issue)'!$G$3:$G$302,'Stock OUT (Issue)'!$D$3:$D$302,$A64,'Stock OUT (Issue)'!$C$3:$C$302,"JOB-01"))</f>
        <v/>
      </c>
      <c r="E64" s="19" t="str">
        <f>IF($A64="","",SUMIFS('Stock OUT (Issue)'!$G$3:$G$302,'Stock OUT (Issue)'!$D$3:$D$302,$A64,'Stock OUT (Issue)'!$C$3:$C$302,"JOB-02"))</f>
        <v/>
      </c>
      <c r="F64" s="19" t="str">
        <f>IF($A64="","",SUMIFS('Stock OUT (Issue)'!$G$3:$G$302,'Stock OUT (Issue)'!$D$3:$D$302,$A64,'Stock OUT (Issue)'!$C$3:$C$302,"JOB-03"))</f>
        <v/>
      </c>
      <c r="G64" s="19" t="str">
        <f>IF($A64="","",SUMIFS('Stock OUT (Issue)'!$G$3:$G$302,'Stock OUT (Issue)'!$D$3:$D$302,$A64,'Stock OUT (Issue)'!$C$3:$C$302,"JOB-04"))</f>
        <v/>
      </c>
      <c r="H64" s="19" t="str">
        <f>IF($A64="","",SUMIFS('Stock OUT (Issue)'!$G$3:$G$302,'Stock OUT (Issue)'!$D$3:$D$302,$A64,'Stock OUT (Issue)'!$C$3:$C$302,"JOB-05"))</f>
        <v/>
      </c>
      <c r="I64" s="19" t="str">
        <f t="shared" si="1"/>
        <v/>
      </c>
    </row>
    <row r="65" ht="15.75" customHeight="1">
      <c r="A65" s="14" t="str">
        <f>IF('Item Master'!B65="","",'Item Master'!B65)</f>
        <v/>
      </c>
      <c r="B65" s="14" t="str">
        <f>IF($A65="","",'Item Master'!C65)</f>
        <v/>
      </c>
      <c r="C65" s="14" t="str">
        <f>IF($A65="","",'Item Master'!G65)</f>
        <v/>
      </c>
      <c r="D65" s="19" t="str">
        <f>IF($A65="","",SUMIFS('Stock OUT (Issue)'!$G$3:$G$302,'Stock OUT (Issue)'!$D$3:$D$302,$A65,'Stock OUT (Issue)'!$C$3:$C$302,"JOB-01"))</f>
        <v/>
      </c>
      <c r="E65" s="19" t="str">
        <f>IF($A65="","",SUMIFS('Stock OUT (Issue)'!$G$3:$G$302,'Stock OUT (Issue)'!$D$3:$D$302,$A65,'Stock OUT (Issue)'!$C$3:$C$302,"JOB-02"))</f>
        <v/>
      </c>
      <c r="F65" s="19" t="str">
        <f>IF($A65="","",SUMIFS('Stock OUT (Issue)'!$G$3:$G$302,'Stock OUT (Issue)'!$D$3:$D$302,$A65,'Stock OUT (Issue)'!$C$3:$C$302,"JOB-03"))</f>
        <v/>
      </c>
      <c r="G65" s="19" t="str">
        <f>IF($A65="","",SUMIFS('Stock OUT (Issue)'!$G$3:$G$302,'Stock OUT (Issue)'!$D$3:$D$302,$A65,'Stock OUT (Issue)'!$C$3:$C$302,"JOB-04"))</f>
        <v/>
      </c>
      <c r="H65" s="19" t="str">
        <f>IF($A65="","",SUMIFS('Stock OUT (Issue)'!$G$3:$G$302,'Stock OUT (Issue)'!$D$3:$D$302,$A65,'Stock OUT (Issue)'!$C$3:$C$302,"JOB-05"))</f>
        <v/>
      </c>
      <c r="I65" s="19" t="str">
        <f t="shared" si="1"/>
        <v/>
      </c>
    </row>
    <row r="66" ht="15.75" customHeight="1">
      <c r="A66" s="14" t="str">
        <f>IF('Item Master'!B66="","",'Item Master'!B66)</f>
        <v/>
      </c>
      <c r="B66" s="14" t="str">
        <f>IF($A66="","",'Item Master'!C66)</f>
        <v/>
      </c>
      <c r="C66" s="14" t="str">
        <f>IF($A66="","",'Item Master'!G66)</f>
        <v/>
      </c>
      <c r="D66" s="19" t="str">
        <f>IF($A66="","",SUMIFS('Stock OUT (Issue)'!$G$3:$G$302,'Stock OUT (Issue)'!$D$3:$D$302,$A66,'Stock OUT (Issue)'!$C$3:$C$302,"JOB-01"))</f>
        <v/>
      </c>
      <c r="E66" s="19" t="str">
        <f>IF($A66="","",SUMIFS('Stock OUT (Issue)'!$G$3:$G$302,'Stock OUT (Issue)'!$D$3:$D$302,$A66,'Stock OUT (Issue)'!$C$3:$C$302,"JOB-02"))</f>
        <v/>
      </c>
      <c r="F66" s="19" t="str">
        <f>IF($A66="","",SUMIFS('Stock OUT (Issue)'!$G$3:$G$302,'Stock OUT (Issue)'!$D$3:$D$302,$A66,'Stock OUT (Issue)'!$C$3:$C$302,"JOB-03"))</f>
        <v/>
      </c>
      <c r="G66" s="19" t="str">
        <f>IF($A66="","",SUMIFS('Stock OUT (Issue)'!$G$3:$G$302,'Stock OUT (Issue)'!$D$3:$D$302,$A66,'Stock OUT (Issue)'!$C$3:$C$302,"JOB-04"))</f>
        <v/>
      </c>
      <c r="H66" s="19" t="str">
        <f>IF($A66="","",SUMIFS('Stock OUT (Issue)'!$G$3:$G$302,'Stock OUT (Issue)'!$D$3:$D$302,$A66,'Stock OUT (Issue)'!$C$3:$C$302,"JOB-05"))</f>
        <v/>
      </c>
      <c r="I66" s="19" t="str">
        <f t="shared" si="1"/>
        <v/>
      </c>
    </row>
    <row r="67" ht="15.75" customHeight="1">
      <c r="A67" s="14" t="str">
        <f>IF('Item Master'!B67="","",'Item Master'!B67)</f>
        <v/>
      </c>
      <c r="B67" s="14" t="str">
        <f>IF($A67="","",'Item Master'!C67)</f>
        <v/>
      </c>
      <c r="C67" s="14" t="str">
        <f>IF($A67="","",'Item Master'!G67)</f>
        <v/>
      </c>
      <c r="D67" s="19" t="str">
        <f>IF($A67="","",SUMIFS('Stock OUT (Issue)'!$G$3:$G$302,'Stock OUT (Issue)'!$D$3:$D$302,$A67,'Stock OUT (Issue)'!$C$3:$C$302,"JOB-01"))</f>
        <v/>
      </c>
      <c r="E67" s="19" t="str">
        <f>IF($A67="","",SUMIFS('Stock OUT (Issue)'!$G$3:$G$302,'Stock OUT (Issue)'!$D$3:$D$302,$A67,'Stock OUT (Issue)'!$C$3:$C$302,"JOB-02"))</f>
        <v/>
      </c>
      <c r="F67" s="19" t="str">
        <f>IF($A67="","",SUMIFS('Stock OUT (Issue)'!$G$3:$G$302,'Stock OUT (Issue)'!$D$3:$D$302,$A67,'Stock OUT (Issue)'!$C$3:$C$302,"JOB-03"))</f>
        <v/>
      </c>
      <c r="G67" s="19" t="str">
        <f>IF($A67="","",SUMIFS('Stock OUT (Issue)'!$G$3:$G$302,'Stock OUT (Issue)'!$D$3:$D$302,$A67,'Stock OUT (Issue)'!$C$3:$C$302,"JOB-04"))</f>
        <v/>
      </c>
      <c r="H67" s="19" t="str">
        <f>IF($A67="","",SUMIFS('Stock OUT (Issue)'!$G$3:$G$302,'Stock OUT (Issue)'!$D$3:$D$302,$A67,'Stock OUT (Issue)'!$C$3:$C$302,"JOB-05"))</f>
        <v/>
      </c>
      <c r="I67" s="19" t="str">
        <f t="shared" si="1"/>
        <v/>
      </c>
    </row>
    <row r="68" ht="15.75" customHeight="1">
      <c r="A68" s="14" t="str">
        <f>IF('Item Master'!B68="","",'Item Master'!B68)</f>
        <v/>
      </c>
      <c r="B68" s="14" t="str">
        <f>IF($A68="","",'Item Master'!C68)</f>
        <v/>
      </c>
      <c r="C68" s="14" t="str">
        <f>IF($A68="","",'Item Master'!G68)</f>
        <v/>
      </c>
      <c r="D68" s="19" t="str">
        <f>IF($A68="","",SUMIFS('Stock OUT (Issue)'!$G$3:$G$302,'Stock OUT (Issue)'!$D$3:$D$302,$A68,'Stock OUT (Issue)'!$C$3:$C$302,"JOB-01"))</f>
        <v/>
      </c>
      <c r="E68" s="19" t="str">
        <f>IF($A68="","",SUMIFS('Stock OUT (Issue)'!$G$3:$G$302,'Stock OUT (Issue)'!$D$3:$D$302,$A68,'Stock OUT (Issue)'!$C$3:$C$302,"JOB-02"))</f>
        <v/>
      </c>
      <c r="F68" s="19" t="str">
        <f>IF($A68="","",SUMIFS('Stock OUT (Issue)'!$G$3:$G$302,'Stock OUT (Issue)'!$D$3:$D$302,$A68,'Stock OUT (Issue)'!$C$3:$C$302,"JOB-03"))</f>
        <v/>
      </c>
      <c r="G68" s="19" t="str">
        <f>IF($A68="","",SUMIFS('Stock OUT (Issue)'!$G$3:$G$302,'Stock OUT (Issue)'!$D$3:$D$302,$A68,'Stock OUT (Issue)'!$C$3:$C$302,"JOB-04"))</f>
        <v/>
      </c>
      <c r="H68" s="19" t="str">
        <f>IF($A68="","",SUMIFS('Stock OUT (Issue)'!$G$3:$G$302,'Stock OUT (Issue)'!$D$3:$D$302,$A68,'Stock OUT (Issue)'!$C$3:$C$302,"JOB-05"))</f>
        <v/>
      </c>
      <c r="I68" s="19" t="str">
        <f t="shared" si="1"/>
        <v/>
      </c>
    </row>
    <row r="69" ht="15.75" customHeight="1">
      <c r="A69" s="14" t="str">
        <f>IF('Item Master'!B69="","",'Item Master'!B69)</f>
        <v/>
      </c>
      <c r="B69" s="14" t="str">
        <f>IF($A69="","",'Item Master'!C69)</f>
        <v/>
      </c>
      <c r="C69" s="14" t="str">
        <f>IF($A69="","",'Item Master'!G69)</f>
        <v/>
      </c>
      <c r="D69" s="19" t="str">
        <f>IF($A69="","",SUMIFS('Stock OUT (Issue)'!$G$3:$G$302,'Stock OUT (Issue)'!$D$3:$D$302,$A69,'Stock OUT (Issue)'!$C$3:$C$302,"JOB-01"))</f>
        <v/>
      </c>
      <c r="E69" s="19" t="str">
        <f>IF($A69="","",SUMIFS('Stock OUT (Issue)'!$G$3:$G$302,'Stock OUT (Issue)'!$D$3:$D$302,$A69,'Stock OUT (Issue)'!$C$3:$C$302,"JOB-02"))</f>
        <v/>
      </c>
      <c r="F69" s="19" t="str">
        <f>IF($A69="","",SUMIFS('Stock OUT (Issue)'!$G$3:$G$302,'Stock OUT (Issue)'!$D$3:$D$302,$A69,'Stock OUT (Issue)'!$C$3:$C$302,"JOB-03"))</f>
        <v/>
      </c>
      <c r="G69" s="19" t="str">
        <f>IF($A69="","",SUMIFS('Stock OUT (Issue)'!$G$3:$G$302,'Stock OUT (Issue)'!$D$3:$D$302,$A69,'Stock OUT (Issue)'!$C$3:$C$302,"JOB-04"))</f>
        <v/>
      </c>
      <c r="H69" s="19" t="str">
        <f>IF($A69="","",SUMIFS('Stock OUT (Issue)'!$G$3:$G$302,'Stock OUT (Issue)'!$D$3:$D$302,$A69,'Stock OUT (Issue)'!$C$3:$C$302,"JOB-05"))</f>
        <v/>
      </c>
      <c r="I69" s="19" t="str">
        <f t="shared" si="1"/>
        <v/>
      </c>
    </row>
    <row r="70" ht="15.75" customHeight="1">
      <c r="A70" s="14" t="str">
        <f>IF('Item Master'!B70="","",'Item Master'!B70)</f>
        <v/>
      </c>
      <c r="B70" s="14" t="str">
        <f>IF($A70="","",'Item Master'!C70)</f>
        <v/>
      </c>
      <c r="C70" s="14" t="str">
        <f>IF($A70="","",'Item Master'!G70)</f>
        <v/>
      </c>
      <c r="D70" s="19" t="str">
        <f>IF($A70="","",SUMIFS('Stock OUT (Issue)'!$G$3:$G$302,'Stock OUT (Issue)'!$D$3:$D$302,$A70,'Stock OUT (Issue)'!$C$3:$C$302,"JOB-01"))</f>
        <v/>
      </c>
      <c r="E70" s="19" t="str">
        <f>IF($A70="","",SUMIFS('Stock OUT (Issue)'!$G$3:$G$302,'Stock OUT (Issue)'!$D$3:$D$302,$A70,'Stock OUT (Issue)'!$C$3:$C$302,"JOB-02"))</f>
        <v/>
      </c>
      <c r="F70" s="19" t="str">
        <f>IF($A70="","",SUMIFS('Stock OUT (Issue)'!$G$3:$G$302,'Stock OUT (Issue)'!$D$3:$D$302,$A70,'Stock OUT (Issue)'!$C$3:$C$302,"JOB-03"))</f>
        <v/>
      </c>
      <c r="G70" s="19" t="str">
        <f>IF($A70="","",SUMIFS('Stock OUT (Issue)'!$G$3:$G$302,'Stock OUT (Issue)'!$D$3:$D$302,$A70,'Stock OUT (Issue)'!$C$3:$C$302,"JOB-04"))</f>
        <v/>
      </c>
      <c r="H70" s="19" t="str">
        <f>IF($A70="","",SUMIFS('Stock OUT (Issue)'!$G$3:$G$302,'Stock OUT (Issue)'!$D$3:$D$302,$A70,'Stock OUT (Issue)'!$C$3:$C$302,"JOB-05"))</f>
        <v/>
      </c>
      <c r="I70" s="19" t="str">
        <f t="shared" si="1"/>
        <v/>
      </c>
    </row>
    <row r="71" ht="15.75" customHeight="1">
      <c r="A71" s="14" t="str">
        <f>IF('Item Master'!B71="","",'Item Master'!B71)</f>
        <v/>
      </c>
      <c r="B71" s="14" t="str">
        <f>IF($A71="","",'Item Master'!C71)</f>
        <v/>
      </c>
      <c r="C71" s="14" t="str">
        <f>IF($A71="","",'Item Master'!G71)</f>
        <v/>
      </c>
      <c r="D71" s="19" t="str">
        <f>IF($A71="","",SUMIFS('Stock OUT (Issue)'!$G$3:$G$302,'Stock OUT (Issue)'!$D$3:$D$302,$A71,'Stock OUT (Issue)'!$C$3:$C$302,"JOB-01"))</f>
        <v/>
      </c>
      <c r="E71" s="19" t="str">
        <f>IF($A71="","",SUMIFS('Stock OUT (Issue)'!$G$3:$G$302,'Stock OUT (Issue)'!$D$3:$D$302,$A71,'Stock OUT (Issue)'!$C$3:$C$302,"JOB-02"))</f>
        <v/>
      </c>
      <c r="F71" s="19" t="str">
        <f>IF($A71="","",SUMIFS('Stock OUT (Issue)'!$G$3:$G$302,'Stock OUT (Issue)'!$D$3:$D$302,$A71,'Stock OUT (Issue)'!$C$3:$C$302,"JOB-03"))</f>
        <v/>
      </c>
      <c r="G71" s="19" t="str">
        <f>IF($A71="","",SUMIFS('Stock OUT (Issue)'!$G$3:$G$302,'Stock OUT (Issue)'!$D$3:$D$302,$A71,'Stock OUT (Issue)'!$C$3:$C$302,"JOB-04"))</f>
        <v/>
      </c>
      <c r="H71" s="19" t="str">
        <f>IF($A71="","",SUMIFS('Stock OUT (Issue)'!$G$3:$G$302,'Stock OUT (Issue)'!$D$3:$D$302,$A71,'Stock OUT (Issue)'!$C$3:$C$302,"JOB-05"))</f>
        <v/>
      </c>
      <c r="I71" s="19" t="str">
        <f t="shared" si="1"/>
        <v/>
      </c>
    </row>
    <row r="72" ht="15.75" customHeight="1">
      <c r="A72" s="14" t="str">
        <f>IF('Item Master'!B72="","",'Item Master'!B72)</f>
        <v/>
      </c>
      <c r="B72" s="14" t="str">
        <f>IF($A72="","",'Item Master'!C72)</f>
        <v/>
      </c>
      <c r="C72" s="14" t="str">
        <f>IF($A72="","",'Item Master'!G72)</f>
        <v/>
      </c>
      <c r="D72" s="19" t="str">
        <f>IF($A72="","",SUMIFS('Stock OUT (Issue)'!$G$3:$G$302,'Stock OUT (Issue)'!$D$3:$D$302,$A72,'Stock OUT (Issue)'!$C$3:$C$302,"JOB-01"))</f>
        <v/>
      </c>
      <c r="E72" s="19" t="str">
        <f>IF($A72="","",SUMIFS('Stock OUT (Issue)'!$G$3:$G$302,'Stock OUT (Issue)'!$D$3:$D$302,$A72,'Stock OUT (Issue)'!$C$3:$C$302,"JOB-02"))</f>
        <v/>
      </c>
      <c r="F72" s="19" t="str">
        <f>IF($A72="","",SUMIFS('Stock OUT (Issue)'!$G$3:$G$302,'Stock OUT (Issue)'!$D$3:$D$302,$A72,'Stock OUT (Issue)'!$C$3:$C$302,"JOB-03"))</f>
        <v/>
      </c>
      <c r="G72" s="19" t="str">
        <f>IF($A72="","",SUMIFS('Stock OUT (Issue)'!$G$3:$G$302,'Stock OUT (Issue)'!$D$3:$D$302,$A72,'Stock OUT (Issue)'!$C$3:$C$302,"JOB-04"))</f>
        <v/>
      </c>
      <c r="H72" s="19" t="str">
        <f>IF($A72="","",SUMIFS('Stock OUT (Issue)'!$G$3:$G$302,'Stock OUT (Issue)'!$D$3:$D$302,$A72,'Stock OUT (Issue)'!$C$3:$C$302,"JOB-05"))</f>
        <v/>
      </c>
      <c r="I72" s="19" t="str">
        <f t="shared" si="1"/>
        <v/>
      </c>
    </row>
    <row r="73" ht="15.75" customHeight="1">
      <c r="A73" s="14" t="str">
        <f>IF('Item Master'!B73="","",'Item Master'!B73)</f>
        <v/>
      </c>
      <c r="B73" s="14" t="str">
        <f>IF($A73="","",'Item Master'!C73)</f>
        <v/>
      </c>
      <c r="C73" s="14" t="str">
        <f>IF($A73="","",'Item Master'!G73)</f>
        <v/>
      </c>
      <c r="D73" s="19" t="str">
        <f>IF($A73="","",SUMIFS('Stock OUT (Issue)'!$G$3:$G$302,'Stock OUT (Issue)'!$D$3:$D$302,$A73,'Stock OUT (Issue)'!$C$3:$C$302,"JOB-01"))</f>
        <v/>
      </c>
      <c r="E73" s="19" t="str">
        <f>IF($A73="","",SUMIFS('Stock OUT (Issue)'!$G$3:$G$302,'Stock OUT (Issue)'!$D$3:$D$302,$A73,'Stock OUT (Issue)'!$C$3:$C$302,"JOB-02"))</f>
        <v/>
      </c>
      <c r="F73" s="19" t="str">
        <f>IF($A73="","",SUMIFS('Stock OUT (Issue)'!$G$3:$G$302,'Stock OUT (Issue)'!$D$3:$D$302,$A73,'Stock OUT (Issue)'!$C$3:$C$302,"JOB-03"))</f>
        <v/>
      </c>
      <c r="G73" s="19" t="str">
        <f>IF($A73="","",SUMIFS('Stock OUT (Issue)'!$G$3:$G$302,'Stock OUT (Issue)'!$D$3:$D$302,$A73,'Stock OUT (Issue)'!$C$3:$C$302,"JOB-04"))</f>
        <v/>
      </c>
      <c r="H73" s="19" t="str">
        <f>IF($A73="","",SUMIFS('Stock OUT (Issue)'!$G$3:$G$302,'Stock OUT (Issue)'!$D$3:$D$302,$A73,'Stock OUT (Issue)'!$C$3:$C$302,"JOB-05"))</f>
        <v/>
      </c>
      <c r="I73" s="19" t="str">
        <f t="shared" si="1"/>
        <v/>
      </c>
    </row>
    <row r="74" ht="15.75" customHeight="1">
      <c r="A74" s="14" t="str">
        <f>IF('Item Master'!B74="","",'Item Master'!B74)</f>
        <v/>
      </c>
      <c r="B74" s="14" t="str">
        <f>IF($A74="","",'Item Master'!C74)</f>
        <v/>
      </c>
      <c r="C74" s="14" t="str">
        <f>IF($A74="","",'Item Master'!G74)</f>
        <v/>
      </c>
      <c r="D74" s="19" t="str">
        <f>IF($A74="","",SUMIFS('Stock OUT (Issue)'!$G$3:$G$302,'Stock OUT (Issue)'!$D$3:$D$302,$A74,'Stock OUT (Issue)'!$C$3:$C$302,"JOB-01"))</f>
        <v/>
      </c>
      <c r="E74" s="19" t="str">
        <f>IF($A74="","",SUMIFS('Stock OUT (Issue)'!$G$3:$G$302,'Stock OUT (Issue)'!$D$3:$D$302,$A74,'Stock OUT (Issue)'!$C$3:$C$302,"JOB-02"))</f>
        <v/>
      </c>
      <c r="F74" s="19" t="str">
        <f>IF($A74="","",SUMIFS('Stock OUT (Issue)'!$G$3:$G$302,'Stock OUT (Issue)'!$D$3:$D$302,$A74,'Stock OUT (Issue)'!$C$3:$C$302,"JOB-03"))</f>
        <v/>
      </c>
      <c r="G74" s="19" t="str">
        <f>IF($A74="","",SUMIFS('Stock OUT (Issue)'!$G$3:$G$302,'Stock OUT (Issue)'!$D$3:$D$302,$A74,'Stock OUT (Issue)'!$C$3:$C$302,"JOB-04"))</f>
        <v/>
      </c>
      <c r="H74" s="19" t="str">
        <f>IF($A74="","",SUMIFS('Stock OUT (Issue)'!$G$3:$G$302,'Stock OUT (Issue)'!$D$3:$D$302,$A74,'Stock OUT (Issue)'!$C$3:$C$302,"JOB-05"))</f>
        <v/>
      </c>
      <c r="I74" s="19" t="str">
        <f t="shared" si="1"/>
        <v/>
      </c>
    </row>
    <row r="75" ht="15.75" customHeight="1">
      <c r="A75" s="14" t="str">
        <f>IF('Item Master'!B75="","",'Item Master'!B75)</f>
        <v/>
      </c>
      <c r="B75" s="14" t="str">
        <f>IF($A75="","",'Item Master'!C75)</f>
        <v/>
      </c>
      <c r="C75" s="14" t="str">
        <f>IF($A75="","",'Item Master'!G75)</f>
        <v/>
      </c>
      <c r="D75" s="19" t="str">
        <f>IF($A75="","",SUMIFS('Stock OUT (Issue)'!$G$3:$G$302,'Stock OUT (Issue)'!$D$3:$D$302,$A75,'Stock OUT (Issue)'!$C$3:$C$302,"JOB-01"))</f>
        <v/>
      </c>
      <c r="E75" s="19" t="str">
        <f>IF($A75="","",SUMIFS('Stock OUT (Issue)'!$G$3:$G$302,'Stock OUT (Issue)'!$D$3:$D$302,$A75,'Stock OUT (Issue)'!$C$3:$C$302,"JOB-02"))</f>
        <v/>
      </c>
      <c r="F75" s="19" t="str">
        <f>IF($A75="","",SUMIFS('Stock OUT (Issue)'!$G$3:$G$302,'Stock OUT (Issue)'!$D$3:$D$302,$A75,'Stock OUT (Issue)'!$C$3:$C$302,"JOB-03"))</f>
        <v/>
      </c>
      <c r="G75" s="19" t="str">
        <f>IF($A75="","",SUMIFS('Stock OUT (Issue)'!$G$3:$G$302,'Stock OUT (Issue)'!$D$3:$D$302,$A75,'Stock OUT (Issue)'!$C$3:$C$302,"JOB-04"))</f>
        <v/>
      </c>
      <c r="H75" s="19" t="str">
        <f>IF($A75="","",SUMIFS('Stock OUT (Issue)'!$G$3:$G$302,'Stock OUT (Issue)'!$D$3:$D$302,$A75,'Stock OUT (Issue)'!$C$3:$C$302,"JOB-05"))</f>
        <v/>
      </c>
      <c r="I75" s="19" t="str">
        <f t="shared" si="1"/>
        <v/>
      </c>
    </row>
    <row r="76" ht="15.75" customHeight="1">
      <c r="A76" s="14" t="str">
        <f>IF('Item Master'!B76="","",'Item Master'!B76)</f>
        <v/>
      </c>
      <c r="B76" s="14" t="str">
        <f>IF($A76="","",'Item Master'!C76)</f>
        <v/>
      </c>
      <c r="C76" s="14" t="str">
        <f>IF($A76="","",'Item Master'!G76)</f>
        <v/>
      </c>
      <c r="D76" s="19" t="str">
        <f>IF($A76="","",SUMIFS('Stock OUT (Issue)'!$G$3:$G$302,'Stock OUT (Issue)'!$D$3:$D$302,$A76,'Stock OUT (Issue)'!$C$3:$C$302,"JOB-01"))</f>
        <v/>
      </c>
      <c r="E76" s="19" t="str">
        <f>IF($A76="","",SUMIFS('Stock OUT (Issue)'!$G$3:$G$302,'Stock OUT (Issue)'!$D$3:$D$302,$A76,'Stock OUT (Issue)'!$C$3:$C$302,"JOB-02"))</f>
        <v/>
      </c>
      <c r="F76" s="19" t="str">
        <f>IF($A76="","",SUMIFS('Stock OUT (Issue)'!$G$3:$G$302,'Stock OUT (Issue)'!$D$3:$D$302,$A76,'Stock OUT (Issue)'!$C$3:$C$302,"JOB-03"))</f>
        <v/>
      </c>
      <c r="G76" s="19" t="str">
        <f>IF($A76="","",SUMIFS('Stock OUT (Issue)'!$G$3:$G$302,'Stock OUT (Issue)'!$D$3:$D$302,$A76,'Stock OUT (Issue)'!$C$3:$C$302,"JOB-04"))</f>
        <v/>
      </c>
      <c r="H76" s="19" t="str">
        <f>IF($A76="","",SUMIFS('Stock OUT (Issue)'!$G$3:$G$302,'Stock OUT (Issue)'!$D$3:$D$302,$A76,'Stock OUT (Issue)'!$C$3:$C$302,"JOB-05"))</f>
        <v/>
      </c>
      <c r="I76" s="19" t="str">
        <f t="shared" si="1"/>
        <v/>
      </c>
    </row>
    <row r="77" ht="15.75" customHeight="1">
      <c r="A77" s="14" t="str">
        <f>IF('Item Master'!B77="","",'Item Master'!B77)</f>
        <v/>
      </c>
      <c r="B77" s="14" t="str">
        <f>IF($A77="","",'Item Master'!C77)</f>
        <v/>
      </c>
      <c r="C77" s="14" t="str">
        <f>IF($A77="","",'Item Master'!G77)</f>
        <v/>
      </c>
      <c r="D77" s="19" t="str">
        <f>IF($A77="","",SUMIFS('Stock OUT (Issue)'!$G$3:$G$302,'Stock OUT (Issue)'!$D$3:$D$302,$A77,'Stock OUT (Issue)'!$C$3:$C$302,"JOB-01"))</f>
        <v/>
      </c>
      <c r="E77" s="19" t="str">
        <f>IF($A77="","",SUMIFS('Stock OUT (Issue)'!$G$3:$G$302,'Stock OUT (Issue)'!$D$3:$D$302,$A77,'Stock OUT (Issue)'!$C$3:$C$302,"JOB-02"))</f>
        <v/>
      </c>
      <c r="F77" s="19" t="str">
        <f>IF($A77="","",SUMIFS('Stock OUT (Issue)'!$G$3:$G$302,'Stock OUT (Issue)'!$D$3:$D$302,$A77,'Stock OUT (Issue)'!$C$3:$C$302,"JOB-03"))</f>
        <v/>
      </c>
      <c r="G77" s="19" t="str">
        <f>IF($A77="","",SUMIFS('Stock OUT (Issue)'!$G$3:$G$302,'Stock OUT (Issue)'!$D$3:$D$302,$A77,'Stock OUT (Issue)'!$C$3:$C$302,"JOB-04"))</f>
        <v/>
      </c>
      <c r="H77" s="19" t="str">
        <f>IF($A77="","",SUMIFS('Stock OUT (Issue)'!$G$3:$G$302,'Stock OUT (Issue)'!$D$3:$D$302,$A77,'Stock OUT (Issue)'!$C$3:$C$302,"JOB-05"))</f>
        <v/>
      </c>
      <c r="I77" s="19" t="str">
        <f t="shared" si="1"/>
        <v/>
      </c>
    </row>
    <row r="78" ht="15.75" customHeight="1">
      <c r="A78" s="14" t="str">
        <f>IF('Item Master'!B78="","",'Item Master'!B78)</f>
        <v/>
      </c>
      <c r="B78" s="14" t="str">
        <f>IF($A78="","",'Item Master'!C78)</f>
        <v/>
      </c>
      <c r="C78" s="14" t="str">
        <f>IF($A78="","",'Item Master'!G78)</f>
        <v/>
      </c>
      <c r="D78" s="19" t="str">
        <f>IF($A78="","",SUMIFS('Stock OUT (Issue)'!$G$3:$G$302,'Stock OUT (Issue)'!$D$3:$D$302,$A78,'Stock OUT (Issue)'!$C$3:$C$302,"JOB-01"))</f>
        <v/>
      </c>
      <c r="E78" s="19" t="str">
        <f>IF($A78="","",SUMIFS('Stock OUT (Issue)'!$G$3:$G$302,'Stock OUT (Issue)'!$D$3:$D$302,$A78,'Stock OUT (Issue)'!$C$3:$C$302,"JOB-02"))</f>
        <v/>
      </c>
      <c r="F78" s="19" t="str">
        <f>IF($A78="","",SUMIFS('Stock OUT (Issue)'!$G$3:$G$302,'Stock OUT (Issue)'!$D$3:$D$302,$A78,'Stock OUT (Issue)'!$C$3:$C$302,"JOB-03"))</f>
        <v/>
      </c>
      <c r="G78" s="19" t="str">
        <f>IF($A78="","",SUMIFS('Stock OUT (Issue)'!$G$3:$G$302,'Stock OUT (Issue)'!$D$3:$D$302,$A78,'Stock OUT (Issue)'!$C$3:$C$302,"JOB-04"))</f>
        <v/>
      </c>
      <c r="H78" s="19" t="str">
        <f>IF($A78="","",SUMIFS('Stock OUT (Issue)'!$G$3:$G$302,'Stock OUT (Issue)'!$D$3:$D$302,$A78,'Stock OUT (Issue)'!$C$3:$C$302,"JOB-05"))</f>
        <v/>
      </c>
      <c r="I78" s="19" t="str">
        <f t="shared" si="1"/>
        <v/>
      </c>
    </row>
    <row r="79" ht="15.75" customHeight="1">
      <c r="A79" s="14" t="str">
        <f>IF('Item Master'!B79="","",'Item Master'!B79)</f>
        <v/>
      </c>
      <c r="B79" s="14" t="str">
        <f>IF($A79="","",'Item Master'!C79)</f>
        <v/>
      </c>
      <c r="C79" s="14" t="str">
        <f>IF($A79="","",'Item Master'!G79)</f>
        <v/>
      </c>
      <c r="D79" s="19" t="str">
        <f>IF($A79="","",SUMIFS('Stock OUT (Issue)'!$G$3:$G$302,'Stock OUT (Issue)'!$D$3:$D$302,$A79,'Stock OUT (Issue)'!$C$3:$C$302,"JOB-01"))</f>
        <v/>
      </c>
      <c r="E79" s="19" t="str">
        <f>IF($A79="","",SUMIFS('Stock OUT (Issue)'!$G$3:$G$302,'Stock OUT (Issue)'!$D$3:$D$302,$A79,'Stock OUT (Issue)'!$C$3:$C$302,"JOB-02"))</f>
        <v/>
      </c>
      <c r="F79" s="19" t="str">
        <f>IF($A79="","",SUMIFS('Stock OUT (Issue)'!$G$3:$G$302,'Stock OUT (Issue)'!$D$3:$D$302,$A79,'Stock OUT (Issue)'!$C$3:$C$302,"JOB-03"))</f>
        <v/>
      </c>
      <c r="G79" s="19" t="str">
        <f>IF($A79="","",SUMIFS('Stock OUT (Issue)'!$G$3:$G$302,'Stock OUT (Issue)'!$D$3:$D$302,$A79,'Stock OUT (Issue)'!$C$3:$C$302,"JOB-04"))</f>
        <v/>
      </c>
      <c r="H79" s="19" t="str">
        <f>IF($A79="","",SUMIFS('Stock OUT (Issue)'!$G$3:$G$302,'Stock OUT (Issue)'!$D$3:$D$302,$A79,'Stock OUT (Issue)'!$C$3:$C$302,"JOB-05"))</f>
        <v/>
      </c>
      <c r="I79" s="19" t="str">
        <f t="shared" si="1"/>
        <v/>
      </c>
    </row>
    <row r="80" ht="15.75" customHeight="1">
      <c r="A80" s="14" t="str">
        <f>IF('Item Master'!B80="","",'Item Master'!B80)</f>
        <v/>
      </c>
      <c r="B80" s="14" t="str">
        <f>IF($A80="","",'Item Master'!C80)</f>
        <v/>
      </c>
      <c r="C80" s="14" t="str">
        <f>IF($A80="","",'Item Master'!G80)</f>
        <v/>
      </c>
      <c r="D80" s="19" t="str">
        <f>IF($A80="","",SUMIFS('Stock OUT (Issue)'!$G$3:$G$302,'Stock OUT (Issue)'!$D$3:$D$302,$A80,'Stock OUT (Issue)'!$C$3:$C$302,"JOB-01"))</f>
        <v/>
      </c>
      <c r="E80" s="19" t="str">
        <f>IF($A80="","",SUMIFS('Stock OUT (Issue)'!$G$3:$G$302,'Stock OUT (Issue)'!$D$3:$D$302,$A80,'Stock OUT (Issue)'!$C$3:$C$302,"JOB-02"))</f>
        <v/>
      </c>
      <c r="F80" s="19" t="str">
        <f>IF($A80="","",SUMIFS('Stock OUT (Issue)'!$G$3:$G$302,'Stock OUT (Issue)'!$D$3:$D$302,$A80,'Stock OUT (Issue)'!$C$3:$C$302,"JOB-03"))</f>
        <v/>
      </c>
      <c r="G80" s="19" t="str">
        <f>IF($A80="","",SUMIFS('Stock OUT (Issue)'!$G$3:$G$302,'Stock OUT (Issue)'!$D$3:$D$302,$A80,'Stock OUT (Issue)'!$C$3:$C$302,"JOB-04"))</f>
        <v/>
      </c>
      <c r="H80" s="19" t="str">
        <f>IF($A80="","",SUMIFS('Stock OUT (Issue)'!$G$3:$G$302,'Stock OUT (Issue)'!$D$3:$D$302,$A80,'Stock OUT (Issue)'!$C$3:$C$302,"JOB-05"))</f>
        <v/>
      </c>
      <c r="I80" s="19" t="str">
        <f t="shared" si="1"/>
        <v/>
      </c>
    </row>
    <row r="81" ht="15.75" customHeight="1">
      <c r="A81" s="14" t="str">
        <f>IF('Item Master'!B81="","",'Item Master'!B81)</f>
        <v/>
      </c>
      <c r="B81" s="14" t="str">
        <f>IF($A81="","",'Item Master'!C81)</f>
        <v/>
      </c>
      <c r="C81" s="14" t="str">
        <f>IF($A81="","",'Item Master'!G81)</f>
        <v/>
      </c>
      <c r="D81" s="19" t="str">
        <f>IF($A81="","",SUMIFS('Stock OUT (Issue)'!$G$3:$G$302,'Stock OUT (Issue)'!$D$3:$D$302,$A81,'Stock OUT (Issue)'!$C$3:$C$302,"JOB-01"))</f>
        <v/>
      </c>
      <c r="E81" s="19" t="str">
        <f>IF($A81="","",SUMIFS('Stock OUT (Issue)'!$G$3:$G$302,'Stock OUT (Issue)'!$D$3:$D$302,$A81,'Stock OUT (Issue)'!$C$3:$C$302,"JOB-02"))</f>
        <v/>
      </c>
      <c r="F81" s="19" t="str">
        <f>IF($A81="","",SUMIFS('Stock OUT (Issue)'!$G$3:$G$302,'Stock OUT (Issue)'!$D$3:$D$302,$A81,'Stock OUT (Issue)'!$C$3:$C$302,"JOB-03"))</f>
        <v/>
      </c>
      <c r="G81" s="19" t="str">
        <f>IF($A81="","",SUMIFS('Stock OUT (Issue)'!$G$3:$G$302,'Stock OUT (Issue)'!$D$3:$D$302,$A81,'Stock OUT (Issue)'!$C$3:$C$302,"JOB-04"))</f>
        <v/>
      </c>
      <c r="H81" s="19" t="str">
        <f>IF($A81="","",SUMIFS('Stock OUT (Issue)'!$G$3:$G$302,'Stock OUT (Issue)'!$D$3:$D$302,$A81,'Stock OUT (Issue)'!$C$3:$C$302,"JOB-05"))</f>
        <v/>
      </c>
      <c r="I81" s="19" t="str">
        <f t="shared" si="1"/>
        <v/>
      </c>
    </row>
    <row r="82" ht="15.75" customHeight="1">
      <c r="A82" s="14" t="str">
        <f>IF('Item Master'!B82="","",'Item Master'!B82)</f>
        <v/>
      </c>
      <c r="B82" s="14" t="str">
        <f>IF($A82="","",'Item Master'!C82)</f>
        <v/>
      </c>
      <c r="C82" s="14" t="str">
        <f>IF($A82="","",'Item Master'!G82)</f>
        <v/>
      </c>
      <c r="D82" s="19" t="str">
        <f>IF($A82="","",SUMIFS('Stock OUT (Issue)'!$G$3:$G$302,'Stock OUT (Issue)'!$D$3:$D$302,$A82,'Stock OUT (Issue)'!$C$3:$C$302,"JOB-01"))</f>
        <v/>
      </c>
      <c r="E82" s="19" t="str">
        <f>IF($A82="","",SUMIFS('Stock OUT (Issue)'!$G$3:$G$302,'Stock OUT (Issue)'!$D$3:$D$302,$A82,'Stock OUT (Issue)'!$C$3:$C$302,"JOB-02"))</f>
        <v/>
      </c>
      <c r="F82" s="19" t="str">
        <f>IF($A82="","",SUMIFS('Stock OUT (Issue)'!$G$3:$G$302,'Stock OUT (Issue)'!$D$3:$D$302,$A82,'Stock OUT (Issue)'!$C$3:$C$302,"JOB-03"))</f>
        <v/>
      </c>
      <c r="G82" s="19" t="str">
        <f>IF($A82="","",SUMIFS('Stock OUT (Issue)'!$G$3:$G$302,'Stock OUT (Issue)'!$D$3:$D$302,$A82,'Stock OUT (Issue)'!$C$3:$C$302,"JOB-04"))</f>
        <v/>
      </c>
      <c r="H82" s="19" t="str">
        <f>IF($A82="","",SUMIFS('Stock OUT (Issue)'!$G$3:$G$302,'Stock OUT (Issue)'!$D$3:$D$302,$A82,'Stock OUT (Issue)'!$C$3:$C$302,"JOB-05"))</f>
        <v/>
      </c>
      <c r="I82" s="19" t="str">
        <f t="shared" si="1"/>
        <v/>
      </c>
    </row>
    <row r="83" ht="15.75" customHeight="1">
      <c r="A83" s="14" t="str">
        <f>IF('Item Master'!B83="","",'Item Master'!B83)</f>
        <v/>
      </c>
      <c r="B83" s="14" t="str">
        <f>IF($A83="","",'Item Master'!C83)</f>
        <v/>
      </c>
      <c r="C83" s="14" t="str">
        <f>IF($A83="","",'Item Master'!G83)</f>
        <v/>
      </c>
      <c r="D83" s="19" t="str">
        <f>IF($A83="","",SUMIFS('Stock OUT (Issue)'!$G$3:$G$302,'Stock OUT (Issue)'!$D$3:$D$302,$A83,'Stock OUT (Issue)'!$C$3:$C$302,"JOB-01"))</f>
        <v/>
      </c>
      <c r="E83" s="19" t="str">
        <f>IF($A83="","",SUMIFS('Stock OUT (Issue)'!$G$3:$G$302,'Stock OUT (Issue)'!$D$3:$D$302,$A83,'Stock OUT (Issue)'!$C$3:$C$302,"JOB-02"))</f>
        <v/>
      </c>
      <c r="F83" s="19" t="str">
        <f>IF($A83="","",SUMIFS('Stock OUT (Issue)'!$G$3:$G$302,'Stock OUT (Issue)'!$D$3:$D$302,$A83,'Stock OUT (Issue)'!$C$3:$C$302,"JOB-03"))</f>
        <v/>
      </c>
      <c r="G83" s="19" t="str">
        <f>IF($A83="","",SUMIFS('Stock OUT (Issue)'!$G$3:$G$302,'Stock OUT (Issue)'!$D$3:$D$302,$A83,'Stock OUT (Issue)'!$C$3:$C$302,"JOB-04"))</f>
        <v/>
      </c>
      <c r="H83" s="19" t="str">
        <f>IF($A83="","",SUMIFS('Stock OUT (Issue)'!$G$3:$G$302,'Stock OUT (Issue)'!$D$3:$D$302,$A83,'Stock OUT (Issue)'!$C$3:$C$302,"JOB-05"))</f>
        <v/>
      </c>
      <c r="I83" s="19" t="str">
        <f t="shared" si="1"/>
        <v/>
      </c>
    </row>
    <row r="84" ht="15.75" customHeight="1">
      <c r="A84" s="14" t="str">
        <f>IF('Item Master'!B84="","",'Item Master'!B84)</f>
        <v/>
      </c>
      <c r="B84" s="14" t="str">
        <f>IF($A84="","",'Item Master'!C84)</f>
        <v/>
      </c>
      <c r="C84" s="14" t="str">
        <f>IF($A84="","",'Item Master'!G84)</f>
        <v/>
      </c>
      <c r="D84" s="19" t="str">
        <f>IF($A84="","",SUMIFS('Stock OUT (Issue)'!$G$3:$G$302,'Stock OUT (Issue)'!$D$3:$D$302,$A84,'Stock OUT (Issue)'!$C$3:$C$302,"JOB-01"))</f>
        <v/>
      </c>
      <c r="E84" s="19" t="str">
        <f>IF($A84="","",SUMIFS('Stock OUT (Issue)'!$G$3:$G$302,'Stock OUT (Issue)'!$D$3:$D$302,$A84,'Stock OUT (Issue)'!$C$3:$C$302,"JOB-02"))</f>
        <v/>
      </c>
      <c r="F84" s="19" t="str">
        <f>IF($A84="","",SUMIFS('Stock OUT (Issue)'!$G$3:$G$302,'Stock OUT (Issue)'!$D$3:$D$302,$A84,'Stock OUT (Issue)'!$C$3:$C$302,"JOB-03"))</f>
        <v/>
      </c>
      <c r="G84" s="19" t="str">
        <f>IF($A84="","",SUMIFS('Stock OUT (Issue)'!$G$3:$G$302,'Stock OUT (Issue)'!$D$3:$D$302,$A84,'Stock OUT (Issue)'!$C$3:$C$302,"JOB-04"))</f>
        <v/>
      </c>
      <c r="H84" s="19" t="str">
        <f>IF($A84="","",SUMIFS('Stock OUT (Issue)'!$G$3:$G$302,'Stock OUT (Issue)'!$D$3:$D$302,$A84,'Stock OUT (Issue)'!$C$3:$C$302,"JOB-05"))</f>
        <v/>
      </c>
      <c r="I84" s="19" t="str">
        <f t="shared" si="1"/>
        <v/>
      </c>
    </row>
    <row r="85" ht="15.75" customHeight="1">
      <c r="A85" s="14" t="str">
        <f>IF('Item Master'!B85="","",'Item Master'!B85)</f>
        <v/>
      </c>
      <c r="B85" s="14" t="str">
        <f>IF($A85="","",'Item Master'!C85)</f>
        <v/>
      </c>
      <c r="C85" s="14" t="str">
        <f>IF($A85="","",'Item Master'!G85)</f>
        <v/>
      </c>
      <c r="D85" s="19" t="str">
        <f>IF($A85="","",SUMIFS('Stock OUT (Issue)'!$G$3:$G$302,'Stock OUT (Issue)'!$D$3:$D$302,$A85,'Stock OUT (Issue)'!$C$3:$C$302,"JOB-01"))</f>
        <v/>
      </c>
      <c r="E85" s="19" t="str">
        <f>IF($A85="","",SUMIFS('Stock OUT (Issue)'!$G$3:$G$302,'Stock OUT (Issue)'!$D$3:$D$302,$A85,'Stock OUT (Issue)'!$C$3:$C$302,"JOB-02"))</f>
        <v/>
      </c>
      <c r="F85" s="19" t="str">
        <f>IF($A85="","",SUMIFS('Stock OUT (Issue)'!$G$3:$G$302,'Stock OUT (Issue)'!$D$3:$D$302,$A85,'Stock OUT (Issue)'!$C$3:$C$302,"JOB-03"))</f>
        <v/>
      </c>
      <c r="G85" s="19" t="str">
        <f>IF($A85="","",SUMIFS('Stock OUT (Issue)'!$G$3:$G$302,'Stock OUT (Issue)'!$D$3:$D$302,$A85,'Stock OUT (Issue)'!$C$3:$C$302,"JOB-04"))</f>
        <v/>
      </c>
      <c r="H85" s="19" t="str">
        <f>IF($A85="","",SUMIFS('Stock OUT (Issue)'!$G$3:$G$302,'Stock OUT (Issue)'!$D$3:$D$302,$A85,'Stock OUT (Issue)'!$C$3:$C$302,"JOB-05"))</f>
        <v/>
      </c>
      <c r="I85" s="19" t="str">
        <f t="shared" si="1"/>
        <v/>
      </c>
    </row>
    <row r="86" ht="15.75" customHeight="1">
      <c r="A86" s="14" t="str">
        <f>IF('Item Master'!B86="","",'Item Master'!B86)</f>
        <v/>
      </c>
      <c r="B86" s="14" t="str">
        <f>IF($A86="","",'Item Master'!C86)</f>
        <v/>
      </c>
      <c r="C86" s="14" t="str">
        <f>IF($A86="","",'Item Master'!G86)</f>
        <v/>
      </c>
      <c r="D86" s="19" t="str">
        <f>IF($A86="","",SUMIFS('Stock OUT (Issue)'!$G$3:$G$302,'Stock OUT (Issue)'!$D$3:$D$302,$A86,'Stock OUT (Issue)'!$C$3:$C$302,"JOB-01"))</f>
        <v/>
      </c>
      <c r="E86" s="19" t="str">
        <f>IF($A86="","",SUMIFS('Stock OUT (Issue)'!$G$3:$G$302,'Stock OUT (Issue)'!$D$3:$D$302,$A86,'Stock OUT (Issue)'!$C$3:$C$302,"JOB-02"))</f>
        <v/>
      </c>
      <c r="F86" s="19" t="str">
        <f>IF($A86="","",SUMIFS('Stock OUT (Issue)'!$G$3:$G$302,'Stock OUT (Issue)'!$D$3:$D$302,$A86,'Stock OUT (Issue)'!$C$3:$C$302,"JOB-03"))</f>
        <v/>
      </c>
      <c r="G86" s="19" t="str">
        <f>IF($A86="","",SUMIFS('Stock OUT (Issue)'!$G$3:$G$302,'Stock OUT (Issue)'!$D$3:$D$302,$A86,'Stock OUT (Issue)'!$C$3:$C$302,"JOB-04"))</f>
        <v/>
      </c>
      <c r="H86" s="19" t="str">
        <f>IF($A86="","",SUMIFS('Stock OUT (Issue)'!$G$3:$G$302,'Stock OUT (Issue)'!$D$3:$D$302,$A86,'Stock OUT (Issue)'!$C$3:$C$302,"JOB-05"))</f>
        <v/>
      </c>
      <c r="I86" s="19" t="str">
        <f t="shared" si="1"/>
        <v/>
      </c>
    </row>
    <row r="87" ht="15.75" customHeight="1">
      <c r="A87" s="14" t="str">
        <f>IF('Item Master'!B87="","",'Item Master'!B87)</f>
        <v/>
      </c>
      <c r="B87" s="14" t="str">
        <f>IF($A87="","",'Item Master'!C87)</f>
        <v/>
      </c>
      <c r="C87" s="14" t="str">
        <f>IF($A87="","",'Item Master'!G87)</f>
        <v/>
      </c>
      <c r="D87" s="19" t="str">
        <f>IF($A87="","",SUMIFS('Stock OUT (Issue)'!$G$3:$G$302,'Stock OUT (Issue)'!$D$3:$D$302,$A87,'Stock OUT (Issue)'!$C$3:$C$302,"JOB-01"))</f>
        <v/>
      </c>
      <c r="E87" s="19" t="str">
        <f>IF($A87="","",SUMIFS('Stock OUT (Issue)'!$G$3:$G$302,'Stock OUT (Issue)'!$D$3:$D$302,$A87,'Stock OUT (Issue)'!$C$3:$C$302,"JOB-02"))</f>
        <v/>
      </c>
      <c r="F87" s="19" t="str">
        <f>IF($A87="","",SUMIFS('Stock OUT (Issue)'!$G$3:$G$302,'Stock OUT (Issue)'!$D$3:$D$302,$A87,'Stock OUT (Issue)'!$C$3:$C$302,"JOB-03"))</f>
        <v/>
      </c>
      <c r="G87" s="19" t="str">
        <f>IF($A87="","",SUMIFS('Stock OUT (Issue)'!$G$3:$G$302,'Stock OUT (Issue)'!$D$3:$D$302,$A87,'Stock OUT (Issue)'!$C$3:$C$302,"JOB-04"))</f>
        <v/>
      </c>
      <c r="H87" s="19" t="str">
        <f>IF($A87="","",SUMIFS('Stock OUT (Issue)'!$G$3:$G$302,'Stock OUT (Issue)'!$D$3:$D$302,$A87,'Stock OUT (Issue)'!$C$3:$C$302,"JOB-05"))</f>
        <v/>
      </c>
      <c r="I87" s="19" t="str">
        <f t="shared" si="1"/>
        <v/>
      </c>
    </row>
    <row r="88" ht="15.75" customHeight="1">
      <c r="A88" s="14" t="str">
        <f>IF('Item Master'!B88="","",'Item Master'!B88)</f>
        <v/>
      </c>
      <c r="B88" s="14" t="str">
        <f>IF($A88="","",'Item Master'!C88)</f>
        <v/>
      </c>
      <c r="C88" s="14" t="str">
        <f>IF($A88="","",'Item Master'!G88)</f>
        <v/>
      </c>
      <c r="D88" s="19" t="str">
        <f>IF($A88="","",SUMIFS('Stock OUT (Issue)'!$G$3:$G$302,'Stock OUT (Issue)'!$D$3:$D$302,$A88,'Stock OUT (Issue)'!$C$3:$C$302,"JOB-01"))</f>
        <v/>
      </c>
      <c r="E88" s="19" t="str">
        <f>IF($A88="","",SUMIFS('Stock OUT (Issue)'!$G$3:$G$302,'Stock OUT (Issue)'!$D$3:$D$302,$A88,'Stock OUT (Issue)'!$C$3:$C$302,"JOB-02"))</f>
        <v/>
      </c>
      <c r="F88" s="19" t="str">
        <f>IF($A88="","",SUMIFS('Stock OUT (Issue)'!$G$3:$G$302,'Stock OUT (Issue)'!$D$3:$D$302,$A88,'Stock OUT (Issue)'!$C$3:$C$302,"JOB-03"))</f>
        <v/>
      </c>
      <c r="G88" s="19" t="str">
        <f>IF($A88="","",SUMIFS('Stock OUT (Issue)'!$G$3:$G$302,'Stock OUT (Issue)'!$D$3:$D$302,$A88,'Stock OUT (Issue)'!$C$3:$C$302,"JOB-04"))</f>
        <v/>
      </c>
      <c r="H88" s="19" t="str">
        <f>IF($A88="","",SUMIFS('Stock OUT (Issue)'!$G$3:$G$302,'Stock OUT (Issue)'!$D$3:$D$302,$A88,'Stock OUT (Issue)'!$C$3:$C$302,"JOB-05"))</f>
        <v/>
      </c>
      <c r="I88" s="19" t="str">
        <f t="shared" si="1"/>
        <v/>
      </c>
    </row>
    <row r="89" ht="15.75" customHeight="1">
      <c r="A89" s="14" t="str">
        <f>IF('Item Master'!B89="","",'Item Master'!B89)</f>
        <v/>
      </c>
      <c r="B89" s="14" t="str">
        <f>IF($A89="","",'Item Master'!C89)</f>
        <v/>
      </c>
      <c r="C89" s="14" t="str">
        <f>IF($A89="","",'Item Master'!G89)</f>
        <v/>
      </c>
      <c r="D89" s="19" t="str">
        <f>IF($A89="","",SUMIFS('Stock OUT (Issue)'!$G$3:$G$302,'Stock OUT (Issue)'!$D$3:$D$302,$A89,'Stock OUT (Issue)'!$C$3:$C$302,"JOB-01"))</f>
        <v/>
      </c>
      <c r="E89" s="19" t="str">
        <f>IF($A89="","",SUMIFS('Stock OUT (Issue)'!$G$3:$G$302,'Stock OUT (Issue)'!$D$3:$D$302,$A89,'Stock OUT (Issue)'!$C$3:$C$302,"JOB-02"))</f>
        <v/>
      </c>
      <c r="F89" s="19" t="str">
        <f>IF($A89="","",SUMIFS('Stock OUT (Issue)'!$G$3:$G$302,'Stock OUT (Issue)'!$D$3:$D$302,$A89,'Stock OUT (Issue)'!$C$3:$C$302,"JOB-03"))</f>
        <v/>
      </c>
      <c r="G89" s="19" t="str">
        <f>IF($A89="","",SUMIFS('Stock OUT (Issue)'!$G$3:$G$302,'Stock OUT (Issue)'!$D$3:$D$302,$A89,'Stock OUT (Issue)'!$C$3:$C$302,"JOB-04"))</f>
        <v/>
      </c>
      <c r="H89" s="19" t="str">
        <f>IF($A89="","",SUMIFS('Stock OUT (Issue)'!$G$3:$G$302,'Stock OUT (Issue)'!$D$3:$D$302,$A89,'Stock OUT (Issue)'!$C$3:$C$302,"JOB-05"))</f>
        <v/>
      </c>
      <c r="I89" s="19" t="str">
        <f t="shared" si="1"/>
        <v/>
      </c>
    </row>
    <row r="90" ht="15.75" customHeight="1">
      <c r="A90" s="14" t="str">
        <f>IF('Item Master'!B90="","",'Item Master'!B90)</f>
        <v/>
      </c>
      <c r="B90" s="14" t="str">
        <f>IF($A90="","",'Item Master'!C90)</f>
        <v/>
      </c>
      <c r="C90" s="14" t="str">
        <f>IF($A90="","",'Item Master'!G90)</f>
        <v/>
      </c>
      <c r="D90" s="19" t="str">
        <f>IF($A90="","",SUMIFS('Stock OUT (Issue)'!$G$3:$G$302,'Stock OUT (Issue)'!$D$3:$D$302,$A90,'Stock OUT (Issue)'!$C$3:$C$302,"JOB-01"))</f>
        <v/>
      </c>
      <c r="E90" s="19" t="str">
        <f>IF($A90="","",SUMIFS('Stock OUT (Issue)'!$G$3:$G$302,'Stock OUT (Issue)'!$D$3:$D$302,$A90,'Stock OUT (Issue)'!$C$3:$C$302,"JOB-02"))</f>
        <v/>
      </c>
      <c r="F90" s="19" t="str">
        <f>IF($A90="","",SUMIFS('Stock OUT (Issue)'!$G$3:$G$302,'Stock OUT (Issue)'!$D$3:$D$302,$A90,'Stock OUT (Issue)'!$C$3:$C$302,"JOB-03"))</f>
        <v/>
      </c>
      <c r="G90" s="19" t="str">
        <f>IF($A90="","",SUMIFS('Stock OUT (Issue)'!$G$3:$G$302,'Stock OUT (Issue)'!$D$3:$D$302,$A90,'Stock OUT (Issue)'!$C$3:$C$302,"JOB-04"))</f>
        <v/>
      </c>
      <c r="H90" s="19" t="str">
        <f>IF($A90="","",SUMIFS('Stock OUT (Issue)'!$G$3:$G$302,'Stock OUT (Issue)'!$D$3:$D$302,$A90,'Stock OUT (Issue)'!$C$3:$C$302,"JOB-05"))</f>
        <v/>
      </c>
      <c r="I90" s="19" t="str">
        <f t="shared" si="1"/>
        <v/>
      </c>
    </row>
    <row r="91" ht="15.75" customHeight="1">
      <c r="A91" s="14" t="str">
        <f>IF('Item Master'!B91="","",'Item Master'!B91)</f>
        <v/>
      </c>
      <c r="B91" s="14" t="str">
        <f>IF($A91="","",'Item Master'!C91)</f>
        <v/>
      </c>
      <c r="C91" s="14" t="str">
        <f>IF($A91="","",'Item Master'!G91)</f>
        <v/>
      </c>
      <c r="D91" s="19" t="str">
        <f>IF($A91="","",SUMIFS('Stock OUT (Issue)'!$G$3:$G$302,'Stock OUT (Issue)'!$D$3:$D$302,$A91,'Stock OUT (Issue)'!$C$3:$C$302,"JOB-01"))</f>
        <v/>
      </c>
      <c r="E91" s="19" t="str">
        <f>IF($A91="","",SUMIFS('Stock OUT (Issue)'!$G$3:$G$302,'Stock OUT (Issue)'!$D$3:$D$302,$A91,'Stock OUT (Issue)'!$C$3:$C$302,"JOB-02"))</f>
        <v/>
      </c>
      <c r="F91" s="19" t="str">
        <f>IF($A91="","",SUMIFS('Stock OUT (Issue)'!$G$3:$G$302,'Stock OUT (Issue)'!$D$3:$D$302,$A91,'Stock OUT (Issue)'!$C$3:$C$302,"JOB-03"))</f>
        <v/>
      </c>
      <c r="G91" s="19" t="str">
        <f>IF($A91="","",SUMIFS('Stock OUT (Issue)'!$G$3:$G$302,'Stock OUT (Issue)'!$D$3:$D$302,$A91,'Stock OUT (Issue)'!$C$3:$C$302,"JOB-04"))</f>
        <v/>
      </c>
      <c r="H91" s="19" t="str">
        <f>IF($A91="","",SUMIFS('Stock OUT (Issue)'!$G$3:$G$302,'Stock OUT (Issue)'!$D$3:$D$302,$A91,'Stock OUT (Issue)'!$C$3:$C$302,"JOB-05"))</f>
        <v/>
      </c>
      <c r="I91" s="19" t="str">
        <f t="shared" si="1"/>
        <v/>
      </c>
    </row>
    <row r="92" ht="15.75" customHeight="1">
      <c r="A92" s="14" t="str">
        <f>IF('Item Master'!B92="","",'Item Master'!B92)</f>
        <v/>
      </c>
      <c r="B92" s="14" t="str">
        <f>IF($A92="","",'Item Master'!C92)</f>
        <v/>
      </c>
      <c r="C92" s="14" t="str">
        <f>IF($A92="","",'Item Master'!G92)</f>
        <v/>
      </c>
      <c r="D92" s="19" t="str">
        <f>IF($A92="","",SUMIFS('Stock OUT (Issue)'!$G$3:$G$302,'Stock OUT (Issue)'!$D$3:$D$302,$A92,'Stock OUT (Issue)'!$C$3:$C$302,"JOB-01"))</f>
        <v/>
      </c>
      <c r="E92" s="19" t="str">
        <f>IF($A92="","",SUMIFS('Stock OUT (Issue)'!$G$3:$G$302,'Stock OUT (Issue)'!$D$3:$D$302,$A92,'Stock OUT (Issue)'!$C$3:$C$302,"JOB-02"))</f>
        <v/>
      </c>
      <c r="F92" s="19" t="str">
        <f>IF($A92="","",SUMIFS('Stock OUT (Issue)'!$G$3:$G$302,'Stock OUT (Issue)'!$D$3:$D$302,$A92,'Stock OUT (Issue)'!$C$3:$C$302,"JOB-03"))</f>
        <v/>
      </c>
      <c r="G92" s="19" t="str">
        <f>IF($A92="","",SUMIFS('Stock OUT (Issue)'!$G$3:$G$302,'Stock OUT (Issue)'!$D$3:$D$302,$A92,'Stock OUT (Issue)'!$C$3:$C$302,"JOB-04"))</f>
        <v/>
      </c>
      <c r="H92" s="19" t="str">
        <f>IF($A92="","",SUMIFS('Stock OUT (Issue)'!$G$3:$G$302,'Stock OUT (Issue)'!$D$3:$D$302,$A92,'Stock OUT (Issue)'!$C$3:$C$302,"JOB-05"))</f>
        <v/>
      </c>
      <c r="I92" s="19" t="str">
        <f t="shared" si="1"/>
        <v/>
      </c>
    </row>
    <row r="93" ht="15.75" customHeight="1">
      <c r="A93" s="14" t="str">
        <f>IF('Item Master'!B93="","",'Item Master'!B93)</f>
        <v/>
      </c>
      <c r="B93" s="14" t="str">
        <f>IF($A93="","",'Item Master'!C93)</f>
        <v/>
      </c>
      <c r="C93" s="14" t="str">
        <f>IF($A93="","",'Item Master'!G93)</f>
        <v/>
      </c>
      <c r="D93" s="19" t="str">
        <f>IF($A93="","",SUMIFS('Stock OUT (Issue)'!$G$3:$G$302,'Stock OUT (Issue)'!$D$3:$D$302,$A93,'Stock OUT (Issue)'!$C$3:$C$302,"JOB-01"))</f>
        <v/>
      </c>
      <c r="E93" s="19" t="str">
        <f>IF($A93="","",SUMIFS('Stock OUT (Issue)'!$G$3:$G$302,'Stock OUT (Issue)'!$D$3:$D$302,$A93,'Stock OUT (Issue)'!$C$3:$C$302,"JOB-02"))</f>
        <v/>
      </c>
      <c r="F93" s="19" t="str">
        <f>IF($A93="","",SUMIFS('Stock OUT (Issue)'!$G$3:$G$302,'Stock OUT (Issue)'!$D$3:$D$302,$A93,'Stock OUT (Issue)'!$C$3:$C$302,"JOB-03"))</f>
        <v/>
      </c>
      <c r="G93" s="19" t="str">
        <f>IF($A93="","",SUMIFS('Stock OUT (Issue)'!$G$3:$G$302,'Stock OUT (Issue)'!$D$3:$D$302,$A93,'Stock OUT (Issue)'!$C$3:$C$302,"JOB-04"))</f>
        <v/>
      </c>
      <c r="H93" s="19" t="str">
        <f>IF($A93="","",SUMIFS('Stock OUT (Issue)'!$G$3:$G$302,'Stock OUT (Issue)'!$D$3:$D$302,$A93,'Stock OUT (Issue)'!$C$3:$C$302,"JOB-05"))</f>
        <v/>
      </c>
      <c r="I93" s="19" t="str">
        <f t="shared" si="1"/>
        <v/>
      </c>
    </row>
    <row r="94" ht="15.75" customHeight="1">
      <c r="A94" s="14" t="str">
        <f>IF('Item Master'!B94="","",'Item Master'!B94)</f>
        <v/>
      </c>
      <c r="B94" s="14" t="str">
        <f>IF($A94="","",'Item Master'!C94)</f>
        <v/>
      </c>
      <c r="C94" s="14" t="str">
        <f>IF($A94="","",'Item Master'!G94)</f>
        <v/>
      </c>
      <c r="D94" s="19" t="str">
        <f>IF($A94="","",SUMIFS('Stock OUT (Issue)'!$G$3:$G$302,'Stock OUT (Issue)'!$D$3:$D$302,$A94,'Stock OUT (Issue)'!$C$3:$C$302,"JOB-01"))</f>
        <v/>
      </c>
      <c r="E94" s="19" t="str">
        <f>IF($A94="","",SUMIFS('Stock OUT (Issue)'!$G$3:$G$302,'Stock OUT (Issue)'!$D$3:$D$302,$A94,'Stock OUT (Issue)'!$C$3:$C$302,"JOB-02"))</f>
        <v/>
      </c>
      <c r="F94" s="19" t="str">
        <f>IF($A94="","",SUMIFS('Stock OUT (Issue)'!$G$3:$G$302,'Stock OUT (Issue)'!$D$3:$D$302,$A94,'Stock OUT (Issue)'!$C$3:$C$302,"JOB-03"))</f>
        <v/>
      </c>
      <c r="G94" s="19" t="str">
        <f>IF($A94="","",SUMIFS('Stock OUT (Issue)'!$G$3:$G$302,'Stock OUT (Issue)'!$D$3:$D$302,$A94,'Stock OUT (Issue)'!$C$3:$C$302,"JOB-04"))</f>
        <v/>
      </c>
      <c r="H94" s="19" t="str">
        <f>IF($A94="","",SUMIFS('Stock OUT (Issue)'!$G$3:$G$302,'Stock OUT (Issue)'!$D$3:$D$302,$A94,'Stock OUT (Issue)'!$C$3:$C$302,"JOB-05"))</f>
        <v/>
      </c>
      <c r="I94" s="19" t="str">
        <f t="shared" si="1"/>
        <v/>
      </c>
    </row>
    <row r="95" ht="15.75" customHeight="1">
      <c r="A95" s="14" t="str">
        <f>IF('Item Master'!B95="","",'Item Master'!B95)</f>
        <v/>
      </c>
      <c r="B95" s="14" t="str">
        <f>IF($A95="","",'Item Master'!C95)</f>
        <v/>
      </c>
      <c r="C95" s="14" t="str">
        <f>IF($A95="","",'Item Master'!G95)</f>
        <v/>
      </c>
      <c r="D95" s="19" t="str">
        <f>IF($A95="","",SUMIFS('Stock OUT (Issue)'!$G$3:$G$302,'Stock OUT (Issue)'!$D$3:$D$302,$A95,'Stock OUT (Issue)'!$C$3:$C$302,"JOB-01"))</f>
        <v/>
      </c>
      <c r="E95" s="19" t="str">
        <f>IF($A95="","",SUMIFS('Stock OUT (Issue)'!$G$3:$G$302,'Stock OUT (Issue)'!$D$3:$D$302,$A95,'Stock OUT (Issue)'!$C$3:$C$302,"JOB-02"))</f>
        <v/>
      </c>
      <c r="F95" s="19" t="str">
        <f>IF($A95="","",SUMIFS('Stock OUT (Issue)'!$G$3:$G$302,'Stock OUT (Issue)'!$D$3:$D$302,$A95,'Stock OUT (Issue)'!$C$3:$C$302,"JOB-03"))</f>
        <v/>
      </c>
      <c r="G95" s="19" t="str">
        <f>IF($A95="","",SUMIFS('Stock OUT (Issue)'!$G$3:$G$302,'Stock OUT (Issue)'!$D$3:$D$302,$A95,'Stock OUT (Issue)'!$C$3:$C$302,"JOB-04"))</f>
        <v/>
      </c>
      <c r="H95" s="19" t="str">
        <f>IF($A95="","",SUMIFS('Stock OUT (Issue)'!$G$3:$G$302,'Stock OUT (Issue)'!$D$3:$D$302,$A95,'Stock OUT (Issue)'!$C$3:$C$302,"JOB-05"))</f>
        <v/>
      </c>
      <c r="I95" s="19" t="str">
        <f t="shared" si="1"/>
        <v/>
      </c>
    </row>
    <row r="96" ht="15.75" customHeight="1">
      <c r="A96" s="14" t="str">
        <f>IF('Item Master'!B96="","",'Item Master'!B96)</f>
        <v/>
      </c>
      <c r="B96" s="14" t="str">
        <f>IF($A96="","",'Item Master'!C96)</f>
        <v/>
      </c>
      <c r="C96" s="14" t="str">
        <f>IF($A96="","",'Item Master'!G96)</f>
        <v/>
      </c>
      <c r="D96" s="19" t="str">
        <f>IF($A96="","",SUMIFS('Stock OUT (Issue)'!$G$3:$G$302,'Stock OUT (Issue)'!$D$3:$D$302,$A96,'Stock OUT (Issue)'!$C$3:$C$302,"JOB-01"))</f>
        <v/>
      </c>
      <c r="E96" s="19" t="str">
        <f>IF($A96="","",SUMIFS('Stock OUT (Issue)'!$G$3:$G$302,'Stock OUT (Issue)'!$D$3:$D$302,$A96,'Stock OUT (Issue)'!$C$3:$C$302,"JOB-02"))</f>
        <v/>
      </c>
      <c r="F96" s="19" t="str">
        <f>IF($A96="","",SUMIFS('Stock OUT (Issue)'!$G$3:$G$302,'Stock OUT (Issue)'!$D$3:$D$302,$A96,'Stock OUT (Issue)'!$C$3:$C$302,"JOB-03"))</f>
        <v/>
      </c>
      <c r="G96" s="19" t="str">
        <f>IF($A96="","",SUMIFS('Stock OUT (Issue)'!$G$3:$G$302,'Stock OUT (Issue)'!$D$3:$D$302,$A96,'Stock OUT (Issue)'!$C$3:$C$302,"JOB-04"))</f>
        <v/>
      </c>
      <c r="H96" s="19" t="str">
        <f>IF($A96="","",SUMIFS('Stock OUT (Issue)'!$G$3:$G$302,'Stock OUT (Issue)'!$D$3:$D$302,$A96,'Stock OUT (Issue)'!$C$3:$C$302,"JOB-05"))</f>
        <v/>
      </c>
      <c r="I96" s="19" t="str">
        <f t="shared" si="1"/>
        <v/>
      </c>
    </row>
    <row r="97" ht="15.75" customHeight="1">
      <c r="A97" s="14" t="str">
        <f>IF('Item Master'!B97="","",'Item Master'!B97)</f>
        <v/>
      </c>
      <c r="B97" s="14" t="str">
        <f>IF($A97="","",'Item Master'!C97)</f>
        <v/>
      </c>
      <c r="C97" s="14" t="str">
        <f>IF($A97="","",'Item Master'!G97)</f>
        <v/>
      </c>
      <c r="D97" s="19" t="str">
        <f>IF($A97="","",SUMIFS('Stock OUT (Issue)'!$G$3:$G$302,'Stock OUT (Issue)'!$D$3:$D$302,$A97,'Stock OUT (Issue)'!$C$3:$C$302,"JOB-01"))</f>
        <v/>
      </c>
      <c r="E97" s="19" t="str">
        <f>IF($A97="","",SUMIFS('Stock OUT (Issue)'!$G$3:$G$302,'Stock OUT (Issue)'!$D$3:$D$302,$A97,'Stock OUT (Issue)'!$C$3:$C$302,"JOB-02"))</f>
        <v/>
      </c>
      <c r="F97" s="19" t="str">
        <f>IF($A97="","",SUMIFS('Stock OUT (Issue)'!$G$3:$G$302,'Stock OUT (Issue)'!$D$3:$D$302,$A97,'Stock OUT (Issue)'!$C$3:$C$302,"JOB-03"))</f>
        <v/>
      </c>
      <c r="G97" s="19" t="str">
        <f>IF($A97="","",SUMIFS('Stock OUT (Issue)'!$G$3:$G$302,'Stock OUT (Issue)'!$D$3:$D$302,$A97,'Stock OUT (Issue)'!$C$3:$C$302,"JOB-04"))</f>
        <v/>
      </c>
      <c r="H97" s="19" t="str">
        <f>IF($A97="","",SUMIFS('Stock OUT (Issue)'!$G$3:$G$302,'Stock OUT (Issue)'!$D$3:$D$302,$A97,'Stock OUT (Issue)'!$C$3:$C$302,"JOB-05"))</f>
        <v/>
      </c>
      <c r="I97" s="19" t="str">
        <f t="shared" si="1"/>
        <v/>
      </c>
    </row>
    <row r="98" ht="15.75" customHeight="1">
      <c r="A98" s="14" t="str">
        <f>IF('Item Master'!B98="","",'Item Master'!B98)</f>
        <v/>
      </c>
      <c r="B98" s="14" t="str">
        <f>IF($A98="","",'Item Master'!C98)</f>
        <v/>
      </c>
      <c r="C98" s="14" t="str">
        <f>IF($A98="","",'Item Master'!G98)</f>
        <v/>
      </c>
      <c r="D98" s="19" t="str">
        <f>IF($A98="","",SUMIFS('Stock OUT (Issue)'!$G$3:$G$302,'Stock OUT (Issue)'!$D$3:$D$302,$A98,'Stock OUT (Issue)'!$C$3:$C$302,"JOB-01"))</f>
        <v/>
      </c>
      <c r="E98" s="19" t="str">
        <f>IF($A98="","",SUMIFS('Stock OUT (Issue)'!$G$3:$G$302,'Stock OUT (Issue)'!$D$3:$D$302,$A98,'Stock OUT (Issue)'!$C$3:$C$302,"JOB-02"))</f>
        <v/>
      </c>
      <c r="F98" s="19" t="str">
        <f>IF($A98="","",SUMIFS('Stock OUT (Issue)'!$G$3:$G$302,'Stock OUT (Issue)'!$D$3:$D$302,$A98,'Stock OUT (Issue)'!$C$3:$C$302,"JOB-03"))</f>
        <v/>
      </c>
      <c r="G98" s="19" t="str">
        <f>IF($A98="","",SUMIFS('Stock OUT (Issue)'!$G$3:$G$302,'Stock OUT (Issue)'!$D$3:$D$302,$A98,'Stock OUT (Issue)'!$C$3:$C$302,"JOB-04"))</f>
        <v/>
      </c>
      <c r="H98" s="19" t="str">
        <f>IF($A98="","",SUMIFS('Stock OUT (Issue)'!$G$3:$G$302,'Stock OUT (Issue)'!$D$3:$D$302,$A98,'Stock OUT (Issue)'!$C$3:$C$302,"JOB-05"))</f>
        <v/>
      </c>
      <c r="I98" s="19" t="str">
        <f t="shared" si="1"/>
        <v/>
      </c>
    </row>
    <row r="99" ht="15.75" customHeight="1">
      <c r="A99" s="14" t="str">
        <f>IF('Item Master'!B99="","",'Item Master'!B99)</f>
        <v/>
      </c>
      <c r="B99" s="14" t="str">
        <f>IF($A99="","",'Item Master'!C99)</f>
        <v/>
      </c>
      <c r="C99" s="14" t="str">
        <f>IF($A99="","",'Item Master'!G99)</f>
        <v/>
      </c>
      <c r="D99" s="19" t="str">
        <f>IF($A99="","",SUMIFS('Stock OUT (Issue)'!$G$3:$G$302,'Stock OUT (Issue)'!$D$3:$D$302,$A99,'Stock OUT (Issue)'!$C$3:$C$302,"JOB-01"))</f>
        <v/>
      </c>
      <c r="E99" s="19" t="str">
        <f>IF($A99="","",SUMIFS('Stock OUT (Issue)'!$G$3:$G$302,'Stock OUT (Issue)'!$D$3:$D$302,$A99,'Stock OUT (Issue)'!$C$3:$C$302,"JOB-02"))</f>
        <v/>
      </c>
      <c r="F99" s="19" t="str">
        <f>IF($A99="","",SUMIFS('Stock OUT (Issue)'!$G$3:$G$302,'Stock OUT (Issue)'!$D$3:$D$302,$A99,'Stock OUT (Issue)'!$C$3:$C$302,"JOB-03"))</f>
        <v/>
      </c>
      <c r="G99" s="19" t="str">
        <f>IF($A99="","",SUMIFS('Stock OUT (Issue)'!$G$3:$G$302,'Stock OUT (Issue)'!$D$3:$D$302,$A99,'Stock OUT (Issue)'!$C$3:$C$302,"JOB-04"))</f>
        <v/>
      </c>
      <c r="H99" s="19" t="str">
        <f>IF($A99="","",SUMIFS('Stock OUT (Issue)'!$G$3:$G$302,'Stock OUT (Issue)'!$D$3:$D$302,$A99,'Stock OUT (Issue)'!$C$3:$C$302,"JOB-05"))</f>
        <v/>
      </c>
      <c r="I99" s="19" t="str">
        <f t="shared" si="1"/>
        <v/>
      </c>
    </row>
    <row r="100" ht="15.75" customHeight="1">
      <c r="A100" s="14" t="str">
        <f>IF('Item Master'!B100="","",'Item Master'!B100)</f>
        <v/>
      </c>
      <c r="B100" s="14" t="str">
        <f>IF($A100="","",'Item Master'!C100)</f>
        <v/>
      </c>
      <c r="C100" s="14" t="str">
        <f>IF($A100="","",'Item Master'!G100)</f>
        <v/>
      </c>
      <c r="D100" s="19" t="str">
        <f>IF($A100="","",SUMIFS('Stock OUT (Issue)'!$G$3:$G$302,'Stock OUT (Issue)'!$D$3:$D$302,$A100,'Stock OUT (Issue)'!$C$3:$C$302,"JOB-01"))</f>
        <v/>
      </c>
      <c r="E100" s="19" t="str">
        <f>IF($A100="","",SUMIFS('Stock OUT (Issue)'!$G$3:$G$302,'Stock OUT (Issue)'!$D$3:$D$302,$A100,'Stock OUT (Issue)'!$C$3:$C$302,"JOB-02"))</f>
        <v/>
      </c>
      <c r="F100" s="19" t="str">
        <f>IF($A100="","",SUMIFS('Stock OUT (Issue)'!$G$3:$G$302,'Stock OUT (Issue)'!$D$3:$D$302,$A100,'Stock OUT (Issue)'!$C$3:$C$302,"JOB-03"))</f>
        <v/>
      </c>
      <c r="G100" s="19" t="str">
        <f>IF($A100="","",SUMIFS('Stock OUT (Issue)'!$G$3:$G$302,'Stock OUT (Issue)'!$D$3:$D$302,$A100,'Stock OUT (Issue)'!$C$3:$C$302,"JOB-04"))</f>
        <v/>
      </c>
      <c r="H100" s="19" t="str">
        <f>IF($A100="","",SUMIFS('Stock OUT (Issue)'!$G$3:$G$302,'Stock OUT (Issue)'!$D$3:$D$302,$A100,'Stock OUT (Issue)'!$C$3:$C$302,"JOB-05"))</f>
        <v/>
      </c>
      <c r="I100" s="19" t="str">
        <f t="shared" si="1"/>
        <v/>
      </c>
    </row>
    <row r="101" ht="15.75" customHeight="1">
      <c r="A101" s="14" t="str">
        <f>IF('Item Master'!B101="","",'Item Master'!B101)</f>
        <v/>
      </c>
      <c r="B101" s="14" t="str">
        <f>IF($A101="","",'Item Master'!C101)</f>
        <v/>
      </c>
      <c r="C101" s="14" t="str">
        <f>IF($A101="","",'Item Master'!G101)</f>
        <v/>
      </c>
      <c r="D101" s="19" t="str">
        <f>IF($A101="","",SUMIFS('Stock OUT (Issue)'!$G$3:$G$302,'Stock OUT (Issue)'!$D$3:$D$302,$A101,'Stock OUT (Issue)'!$C$3:$C$302,"JOB-01"))</f>
        <v/>
      </c>
      <c r="E101" s="19" t="str">
        <f>IF($A101="","",SUMIFS('Stock OUT (Issue)'!$G$3:$G$302,'Stock OUT (Issue)'!$D$3:$D$302,$A101,'Stock OUT (Issue)'!$C$3:$C$302,"JOB-02"))</f>
        <v/>
      </c>
      <c r="F101" s="19" t="str">
        <f>IF($A101="","",SUMIFS('Stock OUT (Issue)'!$G$3:$G$302,'Stock OUT (Issue)'!$D$3:$D$302,$A101,'Stock OUT (Issue)'!$C$3:$C$302,"JOB-03"))</f>
        <v/>
      </c>
      <c r="G101" s="19" t="str">
        <f>IF($A101="","",SUMIFS('Stock OUT (Issue)'!$G$3:$G$302,'Stock OUT (Issue)'!$D$3:$D$302,$A101,'Stock OUT (Issue)'!$C$3:$C$302,"JOB-04"))</f>
        <v/>
      </c>
      <c r="H101" s="19" t="str">
        <f>IF($A101="","",SUMIFS('Stock OUT (Issue)'!$G$3:$G$302,'Stock OUT (Issue)'!$D$3:$D$302,$A101,'Stock OUT (Issue)'!$C$3:$C$302,"JOB-05"))</f>
        <v/>
      </c>
      <c r="I101" s="19" t="str">
        <f t="shared" si="1"/>
        <v/>
      </c>
    </row>
    <row r="102" ht="15.75" customHeight="1">
      <c r="A102" s="14" t="str">
        <f>IF('Item Master'!B102="","",'Item Master'!B102)</f>
        <v/>
      </c>
      <c r="B102" s="14" t="str">
        <f>IF($A102="","",'Item Master'!C102)</f>
        <v/>
      </c>
      <c r="C102" s="14" t="str">
        <f>IF($A102="","",'Item Master'!G102)</f>
        <v/>
      </c>
      <c r="D102" s="19" t="str">
        <f>IF($A102="","",SUMIFS('Stock OUT (Issue)'!$G$3:$G$302,'Stock OUT (Issue)'!$D$3:$D$302,$A102,'Stock OUT (Issue)'!$C$3:$C$302,"JOB-01"))</f>
        <v/>
      </c>
      <c r="E102" s="19" t="str">
        <f>IF($A102="","",SUMIFS('Stock OUT (Issue)'!$G$3:$G$302,'Stock OUT (Issue)'!$D$3:$D$302,$A102,'Stock OUT (Issue)'!$C$3:$C$302,"JOB-02"))</f>
        <v/>
      </c>
      <c r="F102" s="19" t="str">
        <f>IF($A102="","",SUMIFS('Stock OUT (Issue)'!$G$3:$G$302,'Stock OUT (Issue)'!$D$3:$D$302,$A102,'Stock OUT (Issue)'!$C$3:$C$302,"JOB-03"))</f>
        <v/>
      </c>
      <c r="G102" s="19" t="str">
        <f>IF($A102="","",SUMIFS('Stock OUT (Issue)'!$G$3:$G$302,'Stock OUT (Issue)'!$D$3:$D$302,$A102,'Stock OUT (Issue)'!$C$3:$C$302,"JOB-04"))</f>
        <v/>
      </c>
      <c r="H102" s="19" t="str">
        <f>IF($A102="","",SUMIFS('Stock OUT (Issue)'!$G$3:$G$302,'Stock OUT (Issue)'!$D$3:$D$302,$A102,'Stock OUT (Issue)'!$C$3:$C$302,"JOB-05"))</f>
        <v/>
      </c>
      <c r="I102" s="19" t="str">
        <f t="shared" si="1"/>
        <v/>
      </c>
    </row>
    <row r="103" ht="15.75" customHeight="1">
      <c r="A103" s="14" t="str">
        <f>IF('Item Master'!B103="","",'Item Master'!B103)</f>
        <v/>
      </c>
      <c r="B103" s="14" t="str">
        <f>IF($A103="","",'Item Master'!C103)</f>
        <v/>
      </c>
      <c r="C103" s="14" t="str">
        <f>IF($A103="","",'Item Master'!G103)</f>
        <v/>
      </c>
      <c r="D103" s="19" t="str">
        <f>IF($A103="","",SUMIFS('Stock OUT (Issue)'!$G$3:$G$302,'Stock OUT (Issue)'!$D$3:$D$302,$A103,'Stock OUT (Issue)'!$C$3:$C$302,"JOB-01"))</f>
        <v/>
      </c>
      <c r="E103" s="19" t="str">
        <f>IF($A103="","",SUMIFS('Stock OUT (Issue)'!$G$3:$G$302,'Stock OUT (Issue)'!$D$3:$D$302,$A103,'Stock OUT (Issue)'!$C$3:$C$302,"JOB-02"))</f>
        <v/>
      </c>
      <c r="F103" s="19" t="str">
        <f>IF($A103="","",SUMIFS('Stock OUT (Issue)'!$G$3:$G$302,'Stock OUT (Issue)'!$D$3:$D$302,$A103,'Stock OUT (Issue)'!$C$3:$C$302,"JOB-03"))</f>
        <v/>
      </c>
      <c r="G103" s="19" t="str">
        <f>IF($A103="","",SUMIFS('Stock OUT (Issue)'!$G$3:$G$302,'Stock OUT (Issue)'!$D$3:$D$302,$A103,'Stock OUT (Issue)'!$C$3:$C$302,"JOB-04"))</f>
        <v/>
      </c>
      <c r="H103" s="19" t="str">
        <f>IF($A103="","",SUMIFS('Stock OUT (Issue)'!$G$3:$G$302,'Stock OUT (Issue)'!$D$3:$D$302,$A103,'Stock OUT (Issue)'!$C$3:$C$302,"JOB-05"))</f>
        <v/>
      </c>
      <c r="I103" s="19" t="str">
        <f t="shared" si="1"/>
        <v/>
      </c>
    </row>
    <row r="104" ht="15.75" customHeight="1">
      <c r="A104" s="14" t="str">
        <f>IF('Item Master'!B104="","",'Item Master'!B104)</f>
        <v/>
      </c>
      <c r="B104" s="14" t="str">
        <f>IF($A104="","",'Item Master'!C104)</f>
        <v/>
      </c>
      <c r="C104" s="14" t="str">
        <f>IF($A104="","",'Item Master'!G104)</f>
        <v/>
      </c>
      <c r="D104" s="19" t="str">
        <f>IF($A104="","",SUMIFS('Stock OUT (Issue)'!$G$3:$G$302,'Stock OUT (Issue)'!$D$3:$D$302,$A104,'Stock OUT (Issue)'!$C$3:$C$302,"JOB-01"))</f>
        <v/>
      </c>
      <c r="E104" s="19" t="str">
        <f>IF($A104="","",SUMIFS('Stock OUT (Issue)'!$G$3:$G$302,'Stock OUT (Issue)'!$D$3:$D$302,$A104,'Stock OUT (Issue)'!$C$3:$C$302,"JOB-02"))</f>
        <v/>
      </c>
      <c r="F104" s="19" t="str">
        <f>IF($A104="","",SUMIFS('Stock OUT (Issue)'!$G$3:$G$302,'Stock OUT (Issue)'!$D$3:$D$302,$A104,'Stock OUT (Issue)'!$C$3:$C$302,"JOB-03"))</f>
        <v/>
      </c>
      <c r="G104" s="19" t="str">
        <f>IF($A104="","",SUMIFS('Stock OUT (Issue)'!$G$3:$G$302,'Stock OUT (Issue)'!$D$3:$D$302,$A104,'Stock OUT (Issue)'!$C$3:$C$302,"JOB-04"))</f>
        <v/>
      </c>
      <c r="H104" s="19" t="str">
        <f>IF($A104="","",SUMIFS('Stock OUT (Issue)'!$G$3:$G$302,'Stock OUT (Issue)'!$D$3:$D$302,$A104,'Stock OUT (Issue)'!$C$3:$C$302,"JOB-05"))</f>
        <v/>
      </c>
      <c r="I104" s="19" t="str">
        <f t="shared" si="1"/>
        <v/>
      </c>
    </row>
    <row r="105" ht="15.75" customHeight="1">
      <c r="A105" s="14" t="str">
        <f>IF('Item Master'!B105="","",'Item Master'!B105)</f>
        <v/>
      </c>
      <c r="B105" s="14" t="str">
        <f>IF($A105="","",'Item Master'!C105)</f>
        <v/>
      </c>
      <c r="C105" s="14" t="str">
        <f>IF($A105="","",'Item Master'!G105)</f>
        <v/>
      </c>
      <c r="D105" s="19" t="str">
        <f>IF($A105="","",SUMIFS('Stock OUT (Issue)'!$G$3:$G$302,'Stock OUT (Issue)'!$D$3:$D$302,$A105,'Stock OUT (Issue)'!$C$3:$C$302,"JOB-01"))</f>
        <v/>
      </c>
      <c r="E105" s="19" t="str">
        <f>IF($A105="","",SUMIFS('Stock OUT (Issue)'!$G$3:$G$302,'Stock OUT (Issue)'!$D$3:$D$302,$A105,'Stock OUT (Issue)'!$C$3:$C$302,"JOB-02"))</f>
        <v/>
      </c>
      <c r="F105" s="19" t="str">
        <f>IF($A105="","",SUMIFS('Stock OUT (Issue)'!$G$3:$G$302,'Stock OUT (Issue)'!$D$3:$D$302,$A105,'Stock OUT (Issue)'!$C$3:$C$302,"JOB-03"))</f>
        <v/>
      </c>
      <c r="G105" s="19" t="str">
        <f>IF($A105="","",SUMIFS('Stock OUT (Issue)'!$G$3:$G$302,'Stock OUT (Issue)'!$D$3:$D$302,$A105,'Stock OUT (Issue)'!$C$3:$C$302,"JOB-04"))</f>
        <v/>
      </c>
      <c r="H105" s="19" t="str">
        <f>IF($A105="","",SUMIFS('Stock OUT (Issue)'!$G$3:$G$302,'Stock OUT (Issue)'!$D$3:$D$302,$A105,'Stock OUT (Issue)'!$C$3:$C$302,"JOB-05"))</f>
        <v/>
      </c>
      <c r="I105" s="19" t="str">
        <f t="shared" si="1"/>
        <v/>
      </c>
    </row>
    <row r="106" ht="15.75" customHeight="1">
      <c r="A106" s="14" t="str">
        <f>IF('Item Master'!B106="","",'Item Master'!B106)</f>
        <v/>
      </c>
      <c r="B106" s="14" t="str">
        <f>IF($A106="","",'Item Master'!C106)</f>
        <v/>
      </c>
      <c r="C106" s="14" t="str">
        <f>IF($A106="","",'Item Master'!G106)</f>
        <v/>
      </c>
      <c r="D106" s="19" t="str">
        <f>IF($A106="","",SUMIFS('Stock OUT (Issue)'!$G$3:$G$302,'Stock OUT (Issue)'!$D$3:$D$302,$A106,'Stock OUT (Issue)'!$C$3:$C$302,"JOB-01"))</f>
        <v/>
      </c>
      <c r="E106" s="19" t="str">
        <f>IF($A106="","",SUMIFS('Stock OUT (Issue)'!$G$3:$G$302,'Stock OUT (Issue)'!$D$3:$D$302,$A106,'Stock OUT (Issue)'!$C$3:$C$302,"JOB-02"))</f>
        <v/>
      </c>
      <c r="F106" s="19" t="str">
        <f>IF($A106="","",SUMIFS('Stock OUT (Issue)'!$G$3:$G$302,'Stock OUT (Issue)'!$D$3:$D$302,$A106,'Stock OUT (Issue)'!$C$3:$C$302,"JOB-03"))</f>
        <v/>
      </c>
      <c r="G106" s="19" t="str">
        <f>IF($A106="","",SUMIFS('Stock OUT (Issue)'!$G$3:$G$302,'Stock OUT (Issue)'!$D$3:$D$302,$A106,'Stock OUT (Issue)'!$C$3:$C$302,"JOB-04"))</f>
        <v/>
      </c>
      <c r="H106" s="19" t="str">
        <f>IF($A106="","",SUMIFS('Stock OUT (Issue)'!$G$3:$G$302,'Stock OUT (Issue)'!$D$3:$D$302,$A106,'Stock OUT (Issue)'!$C$3:$C$302,"JOB-05"))</f>
        <v/>
      </c>
      <c r="I106" s="19" t="str">
        <f t="shared" si="1"/>
        <v/>
      </c>
    </row>
    <row r="107" ht="15.75" customHeight="1">
      <c r="A107" s="14" t="str">
        <f>IF('Item Master'!B107="","",'Item Master'!B107)</f>
        <v/>
      </c>
      <c r="B107" s="14" t="str">
        <f>IF($A107="","",'Item Master'!C107)</f>
        <v/>
      </c>
      <c r="C107" s="14" t="str">
        <f>IF($A107="","",'Item Master'!G107)</f>
        <v/>
      </c>
      <c r="D107" s="19" t="str">
        <f>IF($A107="","",SUMIFS('Stock OUT (Issue)'!$G$3:$G$302,'Stock OUT (Issue)'!$D$3:$D$302,$A107,'Stock OUT (Issue)'!$C$3:$C$302,"JOB-01"))</f>
        <v/>
      </c>
      <c r="E107" s="19" t="str">
        <f>IF($A107="","",SUMIFS('Stock OUT (Issue)'!$G$3:$G$302,'Stock OUT (Issue)'!$D$3:$D$302,$A107,'Stock OUT (Issue)'!$C$3:$C$302,"JOB-02"))</f>
        <v/>
      </c>
      <c r="F107" s="19" t="str">
        <f>IF($A107="","",SUMIFS('Stock OUT (Issue)'!$G$3:$G$302,'Stock OUT (Issue)'!$D$3:$D$302,$A107,'Stock OUT (Issue)'!$C$3:$C$302,"JOB-03"))</f>
        <v/>
      </c>
      <c r="G107" s="19" t="str">
        <f>IF($A107="","",SUMIFS('Stock OUT (Issue)'!$G$3:$G$302,'Stock OUT (Issue)'!$D$3:$D$302,$A107,'Stock OUT (Issue)'!$C$3:$C$302,"JOB-04"))</f>
        <v/>
      </c>
      <c r="H107" s="19" t="str">
        <f>IF($A107="","",SUMIFS('Stock OUT (Issue)'!$G$3:$G$302,'Stock OUT (Issue)'!$D$3:$D$302,$A107,'Stock OUT (Issue)'!$C$3:$C$302,"JOB-05"))</f>
        <v/>
      </c>
      <c r="I107" s="19" t="str">
        <f t="shared" si="1"/>
        <v/>
      </c>
    </row>
    <row r="108" ht="15.75" customHeight="1">
      <c r="A108" s="14" t="str">
        <f>IF('Item Master'!B108="","",'Item Master'!B108)</f>
        <v/>
      </c>
      <c r="B108" s="14" t="str">
        <f>IF($A108="","",'Item Master'!C108)</f>
        <v/>
      </c>
      <c r="C108" s="14" t="str">
        <f>IF($A108="","",'Item Master'!G108)</f>
        <v/>
      </c>
      <c r="D108" s="19" t="str">
        <f>IF($A108="","",SUMIFS('Stock OUT (Issue)'!$G$3:$G$302,'Stock OUT (Issue)'!$D$3:$D$302,$A108,'Stock OUT (Issue)'!$C$3:$C$302,"JOB-01"))</f>
        <v/>
      </c>
      <c r="E108" s="19" t="str">
        <f>IF($A108="","",SUMIFS('Stock OUT (Issue)'!$G$3:$G$302,'Stock OUT (Issue)'!$D$3:$D$302,$A108,'Stock OUT (Issue)'!$C$3:$C$302,"JOB-02"))</f>
        <v/>
      </c>
      <c r="F108" s="19" t="str">
        <f>IF($A108="","",SUMIFS('Stock OUT (Issue)'!$G$3:$G$302,'Stock OUT (Issue)'!$D$3:$D$302,$A108,'Stock OUT (Issue)'!$C$3:$C$302,"JOB-03"))</f>
        <v/>
      </c>
      <c r="G108" s="19" t="str">
        <f>IF($A108="","",SUMIFS('Stock OUT (Issue)'!$G$3:$G$302,'Stock OUT (Issue)'!$D$3:$D$302,$A108,'Stock OUT (Issue)'!$C$3:$C$302,"JOB-04"))</f>
        <v/>
      </c>
      <c r="H108" s="19" t="str">
        <f>IF($A108="","",SUMIFS('Stock OUT (Issue)'!$G$3:$G$302,'Stock OUT (Issue)'!$D$3:$D$302,$A108,'Stock OUT (Issue)'!$C$3:$C$302,"JOB-05"))</f>
        <v/>
      </c>
      <c r="I108" s="19" t="str">
        <f t="shared" si="1"/>
        <v/>
      </c>
    </row>
    <row r="109" ht="15.75" customHeight="1">
      <c r="A109" s="14" t="str">
        <f>IF('Item Master'!B109="","",'Item Master'!B109)</f>
        <v/>
      </c>
      <c r="B109" s="14" t="str">
        <f>IF($A109="","",'Item Master'!C109)</f>
        <v/>
      </c>
      <c r="C109" s="14" t="str">
        <f>IF($A109="","",'Item Master'!G109)</f>
        <v/>
      </c>
      <c r="D109" s="19" t="str">
        <f>IF($A109="","",SUMIFS('Stock OUT (Issue)'!$G$3:$G$302,'Stock OUT (Issue)'!$D$3:$D$302,$A109,'Stock OUT (Issue)'!$C$3:$C$302,"JOB-01"))</f>
        <v/>
      </c>
      <c r="E109" s="19" t="str">
        <f>IF($A109="","",SUMIFS('Stock OUT (Issue)'!$G$3:$G$302,'Stock OUT (Issue)'!$D$3:$D$302,$A109,'Stock OUT (Issue)'!$C$3:$C$302,"JOB-02"))</f>
        <v/>
      </c>
      <c r="F109" s="19" t="str">
        <f>IF($A109="","",SUMIFS('Stock OUT (Issue)'!$G$3:$G$302,'Stock OUT (Issue)'!$D$3:$D$302,$A109,'Stock OUT (Issue)'!$C$3:$C$302,"JOB-03"))</f>
        <v/>
      </c>
      <c r="G109" s="19" t="str">
        <f>IF($A109="","",SUMIFS('Stock OUT (Issue)'!$G$3:$G$302,'Stock OUT (Issue)'!$D$3:$D$302,$A109,'Stock OUT (Issue)'!$C$3:$C$302,"JOB-04"))</f>
        <v/>
      </c>
      <c r="H109" s="19" t="str">
        <f>IF($A109="","",SUMIFS('Stock OUT (Issue)'!$G$3:$G$302,'Stock OUT (Issue)'!$D$3:$D$302,$A109,'Stock OUT (Issue)'!$C$3:$C$302,"JOB-05"))</f>
        <v/>
      </c>
      <c r="I109" s="19" t="str">
        <f t="shared" si="1"/>
        <v/>
      </c>
    </row>
    <row r="110" ht="15.75" customHeight="1">
      <c r="A110" s="14" t="str">
        <f>IF('Item Master'!B110="","",'Item Master'!B110)</f>
        <v/>
      </c>
      <c r="B110" s="14" t="str">
        <f>IF($A110="","",'Item Master'!C110)</f>
        <v/>
      </c>
      <c r="C110" s="14" t="str">
        <f>IF($A110="","",'Item Master'!G110)</f>
        <v/>
      </c>
      <c r="D110" s="19" t="str">
        <f>IF($A110="","",SUMIFS('Stock OUT (Issue)'!$G$3:$G$302,'Stock OUT (Issue)'!$D$3:$D$302,$A110,'Stock OUT (Issue)'!$C$3:$C$302,"JOB-01"))</f>
        <v/>
      </c>
      <c r="E110" s="19" t="str">
        <f>IF($A110="","",SUMIFS('Stock OUT (Issue)'!$G$3:$G$302,'Stock OUT (Issue)'!$D$3:$D$302,$A110,'Stock OUT (Issue)'!$C$3:$C$302,"JOB-02"))</f>
        <v/>
      </c>
      <c r="F110" s="19" t="str">
        <f>IF($A110="","",SUMIFS('Stock OUT (Issue)'!$G$3:$G$302,'Stock OUT (Issue)'!$D$3:$D$302,$A110,'Stock OUT (Issue)'!$C$3:$C$302,"JOB-03"))</f>
        <v/>
      </c>
      <c r="G110" s="19" t="str">
        <f>IF($A110="","",SUMIFS('Stock OUT (Issue)'!$G$3:$G$302,'Stock OUT (Issue)'!$D$3:$D$302,$A110,'Stock OUT (Issue)'!$C$3:$C$302,"JOB-04"))</f>
        <v/>
      </c>
      <c r="H110" s="19" t="str">
        <f>IF($A110="","",SUMIFS('Stock OUT (Issue)'!$G$3:$G$302,'Stock OUT (Issue)'!$D$3:$D$302,$A110,'Stock OUT (Issue)'!$C$3:$C$302,"JOB-05"))</f>
        <v/>
      </c>
      <c r="I110" s="19" t="str">
        <f t="shared" si="1"/>
        <v/>
      </c>
    </row>
    <row r="111" ht="15.75" customHeight="1">
      <c r="A111" s="14" t="str">
        <f>IF('Item Master'!B111="","",'Item Master'!B111)</f>
        <v/>
      </c>
      <c r="B111" s="14" t="str">
        <f>IF($A111="","",'Item Master'!C111)</f>
        <v/>
      </c>
      <c r="C111" s="14" t="str">
        <f>IF($A111="","",'Item Master'!G111)</f>
        <v/>
      </c>
      <c r="D111" s="19" t="str">
        <f>IF($A111="","",SUMIFS('Stock OUT (Issue)'!$G$3:$G$302,'Stock OUT (Issue)'!$D$3:$D$302,$A111,'Stock OUT (Issue)'!$C$3:$C$302,"JOB-01"))</f>
        <v/>
      </c>
      <c r="E111" s="19" t="str">
        <f>IF($A111="","",SUMIFS('Stock OUT (Issue)'!$G$3:$G$302,'Stock OUT (Issue)'!$D$3:$D$302,$A111,'Stock OUT (Issue)'!$C$3:$C$302,"JOB-02"))</f>
        <v/>
      </c>
      <c r="F111" s="19" t="str">
        <f>IF($A111="","",SUMIFS('Stock OUT (Issue)'!$G$3:$G$302,'Stock OUT (Issue)'!$D$3:$D$302,$A111,'Stock OUT (Issue)'!$C$3:$C$302,"JOB-03"))</f>
        <v/>
      </c>
      <c r="G111" s="19" t="str">
        <f>IF($A111="","",SUMIFS('Stock OUT (Issue)'!$G$3:$G$302,'Stock OUT (Issue)'!$D$3:$D$302,$A111,'Stock OUT (Issue)'!$C$3:$C$302,"JOB-04"))</f>
        <v/>
      </c>
      <c r="H111" s="19" t="str">
        <f>IF($A111="","",SUMIFS('Stock OUT (Issue)'!$G$3:$G$302,'Stock OUT (Issue)'!$D$3:$D$302,$A111,'Stock OUT (Issue)'!$C$3:$C$302,"JOB-05"))</f>
        <v/>
      </c>
      <c r="I111" s="19" t="str">
        <f t="shared" si="1"/>
        <v/>
      </c>
    </row>
    <row r="112" ht="15.75" customHeight="1">
      <c r="A112" s="14" t="str">
        <f>IF('Item Master'!B112="","",'Item Master'!B112)</f>
        <v/>
      </c>
      <c r="B112" s="14" t="str">
        <f>IF($A112="","",'Item Master'!C112)</f>
        <v/>
      </c>
      <c r="C112" s="14" t="str">
        <f>IF($A112="","",'Item Master'!G112)</f>
        <v/>
      </c>
      <c r="D112" s="19" t="str">
        <f>IF($A112="","",SUMIFS('Stock OUT (Issue)'!$G$3:$G$302,'Stock OUT (Issue)'!$D$3:$D$302,$A112,'Stock OUT (Issue)'!$C$3:$C$302,"JOB-01"))</f>
        <v/>
      </c>
      <c r="E112" s="19" t="str">
        <f>IF($A112="","",SUMIFS('Stock OUT (Issue)'!$G$3:$G$302,'Stock OUT (Issue)'!$D$3:$D$302,$A112,'Stock OUT (Issue)'!$C$3:$C$302,"JOB-02"))</f>
        <v/>
      </c>
      <c r="F112" s="19" t="str">
        <f>IF($A112="","",SUMIFS('Stock OUT (Issue)'!$G$3:$G$302,'Stock OUT (Issue)'!$D$3:$D$302,$A112,'Stock OUT (Issue)'!$C$3:$C$302,"JOB-03"))</f>
        <v/>
      </c>
      <c r="G112" s="19" t="str">
        <f>IF($A112="","",SUMIFS('Stock OUT (Issue)'!$G$3:$G$302,'Stock OUT (Issue)'!$D$3:$D$302,$A112,'Stock OUT (Issue)'!$C$3:$C$302,"JOB-04"))</f>
        <v/>
      </c>
      <c r="H112" s="19" t="str">
        <f>IF($A112="","",SUMIFS('Stock OUT (Issue)'!$G$3:$G$302,'Stock OUT (Issue)'!$D$3:$D$302,$A112,'Stock OUT (Issue)'!$C$3:$C$302,"JOB-05"))</f>
        <v/>
      </c>
      <c r="I112" s="19" t="str">
        <f t="shared" si="1"/>
        <v/>
      </c>
    </row>
    <row r="113" ht="15.75" customHeight="1">
      <c r="A113" s="14" t="str">
        <f>IF('Item Master'!B113="","",'Item Master'!B113)</f>
        <v/>
      </c>
      <c r="B113" s="14" t="str">
        <f>IF($A113="","",'Item Master'!C113)</f>
        <v/>
      </c>
      <c r="C113" s="14" t="str">
        <f>IF($A113="","",'Item Master'!G113)</f>
        <v/>
      </c>
      <c r="D113" s="19" t="str">
        <f>IF($A113="","",SUMIFS('Stock OUT (Issue)'!$G$3:$G$302,'Stock OUT (Issue)'!$D$3:$D$302,$A113,'Stock OUT (Issue)'!$C$3:$C$302,"JOB-01"))</f>
        <v/>
      </c>
      <c r="E113" s="19" t="str">
        <f>IF($A113="","",SUMIFS('Stock OUT (Issue)'!$G$3:$G$302,'Stock OUT (Issue)'!$D$3:$D$302,$A113,'Stock OUT (Issue)'!$C$3:$C$302,"JOB-02"))</f>
        <v/>
      </c>
      <c r="F113" s="19" t="str">
        <f>IF($A113="","",SUMIFS('Stock OUT (Issue)'!$G$3:$G$302,'Stock OUT (Issue)'!$D$3:$D$302,$A113,'Stock OUT (Issue)'!$C$3:$C$302,"JOB-03"))</f>
        <v/>
      </c>
      <c r="G113" s="19" t="str">
        <f>IF($A113="","",SUMIFS('Stock OUT (Issue)'!$G$3:$G$302,'Stock OUT (Issue)'!$D$3:$D$302,$A113,'Stock OUT (Issue)'!$C$3:$C$302,"JOB-04"))</f>
        <v/>
      </c>
      <c r="H113" s="19" t="str">
        <f>IF($A113="","",SUMIFS('Stock OUT (Issue)'!$G$3:$G$302,'Stock OUT (Issue)'!$D$3:$D$302,$A113,'Stock OUT (Issue)'!$C$3:$C$302,"JOB-05"))</f>
        <v/>
      </c>
      <c r="I113" s="19" t="str">
        <f t="shared" si="1"/>
        <v/>
      </c>
    </row>
    <row r="114" ht="15.75" customHeight="1">
      <c r="A114" s="14" t="str">
        <f>IF('Item Master'!B114="","",'Item Master'!B114)</f>
        <v/>
      </c>
      <c r="B114" s="14" t="str">
        <f>IF($A114="","",'Item Master'!C114)</f>
        <v/>
      </c>
      <c r="C114" s="14" t="str">
        <f>IF($A114="","",'Item Master'!G114)</f>
        <v/>
      </c>
      <c r="D114" s="19" t="str">
        <f>IF($A114="","",SUMIFS('Stock OUT (Issue)'!$G$3:$G$302,'Stock OUT (Issue)'!$D$3:$D$302,$A114,'Stock OUT (Issue)'!$C$3:$C$302,"JOB-01"))</f>
        <v/>
      </c>
      <c r="E114" s="19" t="str">
        <f>IF($A114="","",SUMIFS('Stock OUT (Issue)'!$G$3:$G$302,'Stock OUT (Issue)'!$D$3:$D$302,$A114,'Stock OUT (Issue)'!$C$3:$C$302,"JOB-02"))</f>
        <v/>
      </c>
      <c r="F114" s="19" t="str">
        <f>IF($A114="","",SUMIFS('Stock OUT (Issue)'!$G$3:$G$302,'Stock OUT (Issue)'!$D$3:$D$302,$A114,'Stock OUT (Issue)'!$C$3:$C$302,"JOB-03"))</f>
        <v/>
      </c>
      <c r="G114" s="19" t="str">
        <f>IF($A114="","",SUMIFS('Stock OUT (Issue)'!$G$3:$G$302,'Stock OUT (Issue)'!$D$3:$D$302,$A114,'Stock OUT (Issue)'!$C$3:$C$302,"JOB-04"))</f>
        <v/>
      </c>
      <c r="H114" s="19" t="str">
        <f>IF($A114="","",SUMIFS('Stock OUT (Issue)'!$G$3:$G$302,'Stock OUT (Issue)'!$D$3:$D$302,$A114,'Stock OUT (Issue)'!$C$3:$C$302,"JOB-05"))</f>
        <v/>
      </c>
      <c r="I114" s="19" t="str">
        <f t="shared" si="1"/>
        <v/>
      </c>
    </row>
    <row r="115" ht="15.75" customHeight="1">
      <c r="A115" s="14" t="str">
        <f>IF('Item Master'!B115="","",'Item Master'!B115)</f>
        <v/>
      </c>
      <c r="B115" s="14" t="str">
        <f>IF($A115="","",'Item Master'!C115)</f>
        <v/>
      </c>
      <c r="C115" s="14" t="str">
        <f>IF($A115="","",'Item Master'!G115)</f>
        <v/>
      </c>
      <c r="D115" s="19" t="str">
        <f>IF($A115="","",SUMIFS('Stock OUT (Issue)'!$G$3:$G$302,'Stock OUT (Issue)'!$D$3:$D$302,$A115,'Stock OUT (Issue)'!$C$3:$C$302,"JOB-01"))</f>
        <v/>
      </c>
      <c r="E115" s="19" t="str">
        <f>IF($A115="","",SUMIFS('Stock OUT (Issue)'!$G$3:$G$302,'Stock OUT (Issue)'!$D$3:$D$302,$A115,'Stock OUT (Issue)'!$C$3:$C$302,"JOB-02"))</f>
        <v/>
      </c>
      <c r="F115" s="19" t="str">
        <f>IF($A115="","",SUMIFS('Stock OUT (Issue)'!$G$3:$G$302,'Stock OUT (Issue)'!$D$3:$D$302,$A115,'Stock OUT (Issue)'!$C$3:$C$302,"JOB-03"))</f>
        <v/>
      </c>
      <c r="G115" s="19" t="str">
        <f>IF($A115="","",SUMIFS('Stock OUT (Issue)'!$G$3:$G$302,'Stock OUT (Issue)'!$D$3:$D$302,$A115,'Stock OUT (Issue)'!$C$3:$C$302,"JOB-04"))</f>
        <v/>
      </c>
      <c r="H115" s="19" t="str">
        <f>IF($A115="","",SUMIFS('Stock OUT (Issue)'!$G$3:$G$302,'Stock OUT (Issue)'!$D$3:$D$302,$A115,'Stock OUT (Issue)'!$C$3:$C$302,"JOB-05"))</f>
        <v/>
      </c>
      <c r="I115" s="19" t="str">
        <f t="shared" si="1"/>
        <v/>
      </c>
    </row>
    <row r="116" ht="15.75" customHeight="1">
      <c r="A116" s="14" t="str">
        <f>IF('Item Master'!B116="","",'Item Master'!B116)</f>
        <v/>
      </c>
      <c r="B116" s="14" t="str">
        <f>IF($A116="","",'Item Master'!C116)</f>
        <v/>
      </c>
      <c r="C116" s="14" t="str">
        <f>IF($A116="","",'Item Master'!G116)</f>
        <v/>
      </c>
      <c r="D116" s="19" t="str">
        <f>IF($A116="","",SUMIFS('Stock OUT (Issue)'!$G$3:$G$302,'Stock OUT (Issue)'!$D$3:$D$302,$A116,'Stock OUT (Issue)'!$C$3:$C$302,"JOB-01"))</f>
        <v/>
      </c>
      <c r="E116" s="19" t="str">
        <f>IF($A116="","",SUMIFS('Stock OUT (Issue)'!$G$3:$G$302,'Stock OUT (Issue)'!$D$3:$D$302,$A116,'Stock OUT (Issue)'!$C$3:$C$302,"JOB-02"))</f>
        <v/>
      </c>
      <c r="F116" s="19" t="str">
        <f>IF($A116="","",SUMIFS('Stock OUT (Issue)'!$G$3:$G$302,'Stock OUT (Issue)'!$D$3:$D$302,$A116,'Stock OUT (Issue)'!$C$3:$C$302,"JOB-03"))</f>
        <v/>
      </c>
      <c r="G116" s="19" t="str">
        <f>IF($A116="","",SUMIFS('Stock OUT (Issue)'!$G$3:$G$302,'Stock OUT (Issue)'!$D$3:$D$302,$A116,'Stock OUT (Issue)'!$C$3:$C$302,"JOB-04"))</f>
        <v/>
      </c>
      <c r="H116" s="19" t="str">
        <f>IF($A116="","",SUMIFS('Stock OUT (Issue)'!$G$3:$G$302,'Stock OUT (Issue)'!$D$3:$D$302,$A116,'Stock OUT (Issue)'!$C$3:$C$302,"JOB-05"))</f>
        <v/>
      </c>
      <c r="I116" s="19" t="str">
        <f t="shared" si="1"/>
        <v/>
      </c>
    </row>
    <row r="117" ht="15.75" customHeight="1">
      <c r="A117" s="14" t="str">
        <f>IF('Item Master'!B117="","",'Item Master'!B117)</f>
        <v/>
      </c>
      <c r="B117" s="14" t="str">
        <f>IF($A117="","",'Item Master'!C117)</f>
        <v/>
      </c>
      <c r="C117" s="14" t="str">
        <f>IF($A117="","",'Item Master'!G117)</f>
        <v/>
      </c>
      <c r="D117" s="19" t="str">
        <f>IF($A117="","",SUMIFS('Stock OUT (Issue)'!$G$3:$G$302,'Stock OUT (Issue)'!$D$3:$D$302,$A117,'Stock OUT (Issue)'!$C$3:$C$302,"JOB-01"))</f>
        <v/>
      </c>
      <c r="E117" s="19" t="str">
        <f>IF($A117="","",SUMIFS('Stock OUT (Issue)'!$G$3:$G$302,'Stock OUT (Issue)'!$D$3:$D$302,$A117,'Stock OUT (Issue)'!$C$3:$C$302,"JOB-02"))</f>
        <v/>
      </c>
      <c r="F117" s="19" t="str">
        <f>IF($A117="","",SUMIFS('Stock OUT (Issue)'!$G$3:$G$302,'Stock OUT (Issue)'!$D$3:$D$302,$A117,'Stock OUT (Issue)'!$C$3:$C$302,"JOB-03"))</f>
        <v/>
      </c>
      <c r="G117" s="19" t="str">
        <f>IF($A117="","",SUMIFS('Stock OUT (Issue)'!$G$3:$G$302,'Stock OUT (Issue)'!$D$3:$D$302,$A117,'Stock OUT (Issue)'!$C$3:$C$302,"JOB-04"))</f>
        <v/>
      </c>
      <c r="H117" s="19" t="str">
        <f>IF($A117="","",SUMIFS('Stock OUT (Issue)'!$G$3:$G$302,'Stock OUT (Issue)'!$D$3:$D$302,$A117,'Stock OUT (Issue)'!$C$3:$C$302,"JOB-05"))</f>
        <v/>
      </c>
      <c r="I117" s="19" t="str">
        <f t="shared" si="1"/>
        <v/>
      </c>
    </row>
    <row r="118" ht="15.75" customHeight="1">
      <c r="A118" s="14" t="str">
        <f>IF('Item Master'!B118="","",'Item Master'!B118)</f>
        <v/>
      </c>
      <c r="B118" s="14" t="str">
        <f>IF($A118="","",'Item Master'!C118)</f>
        <v/>
      </c>
      <c r="C118" s="14" t="str">
        <f>IF($A118="","",'Item Master'!G118)</f>
        <v/>
      </c>
      <c r="D118" s="19" t="str">
        <f>IF($A118="","",SUMIFS('Stock OUT (Issue)'!$G$3:$G$302,'Stock OUT (Issue)'!$D$3:$D$302,$A118,'Stock OUT (Issue)'!$C$3:$C$302,"JOB-01"))</f>
        <v/>
      </c>
      <c r="E118" s="19" t="str">
        <f>IF($A118="","",SUMIFS('Stock OUT (Issue)'!$G$3:$G$302,'Stock OUT (Issue)'!$D$3:$D$302,$A118,'Stock OUT (Issue)'!$C$3:$C$302,"JOB-02"))</f>
        <v/>
      </c>
      <c r="F118" s="19" t="str">
        <f>IF($A118="","",SUMIFS('Stock OUT (Issue)'!$G$3:$G$302,'Stock OUT (Issue)'!$D$3:$D$302,$A118,'Stock OUT (Issue)'!$C$3:$C$302,"JOB-03"))</f>
        <v/>
      </c>
      <c r="G118" s="19" t="str">
        <f>IF($A118="","",SUMIFS('Stock OUT (Issue)'!$G$3:$G$302,'Stock OUT (Issue)'!$D$3:$D$302,$A118,'Stock OUT (Issue)'!$C$3:$C$302,"JOB-04"))</f>
        <v/>
      </c>
      <c r="H118" s="19" t="str">
        <f>IF($A118="","",SUMIFS('Stock OUT (Issue)'!$G$3:$G$302,'Stock OUT (Issue)'!$D$3:$D$302,$A118,'Stock OUT (Issue)'!$C$3:$C$302,"JOB-05"))</f>
        <v/>
      </c>
      <c r="I118" s="19" t="str">
        <f t="shared" si="1"/>
        <v/>
      </c>
    </row>
    <row r="119" ht="15.75" customHeight="1">
      <c r="A119" s="14" t="str">
        <f>IF('Item Master'!B119="","",'Item Master'!B119)</f>
        <v/>
      </c>
      <c r="B119" s="14" t="str">
        <f>IF($A119="","",'Item Master'!C119)</f>
        <v/>
      </c>
      <c r="C119" s="14" t="str">
        <f>IF($A119="","",'Item Master'!G119)</f>
        <v/>
      </c>
      <c r="D119" s="19" t="str">
        <f>IF($A119="","",SUMIFS('Stock OUT (Issue)'!$G$3:$G$302,'Stock OUT (Issue)'!$D$3:$D$302,$A119,'Stock OUT (Issue)'!$C$3:$C$302,"JOB-01"))</f>
        <v/>
      </c>
      <c r="E119" s="19" t="str">
        <f>IF($A119="","",SUMIFS('Stock OUT (Issue)'!$G$3:$G$302,'Stock OUT (Issue)'!$D$3:$D$302,$A119,'Stock OUT (Issue)'!$C$3:$C$302,"JOB-02"))</f>
        <v/>
      </c>
      <c r="F119" s="19" t="str">
        <f>IF($A119="","",SUMIFS('Stock OUT (Issue)'!$G$3:$G$302,'Stock OUT (Issue)'!$D$3:$D$302,$A119,'Stock OUT (Issue)'!$C$3:$C$302,"JOB-03"))</f>
        <v/>
      </c>
      <c r="G119" s="19" t="str">
        <f>IF($A119="","",SUMIFS('Stock OUT (Issue)'!$G$3:$G$302,'Stock OUT (Issue)'!$D$3:$D$302,$A119,'Stock OUT (Issue)'!$C$3:$C$302,"JOB-04"))</f>
        <v/>
      </c>
      <c r="H119" s="19" t="str">
        <f>IF($A119="","",SUMIFS('Stock OUT (Issue)'!$G$3:$G$302,'Stock OUT (Issue)'!$D$3:$D$302,$A119,'Stock OUT (Issue)'!$C$3:$C$302,"JOB-05"))</f>
        <v/>
      </c>
      <c r="I119" s="19" t="str">
        <f t="shared" si="1"/>
        <v/>
      </c>
    </row>
    <row r="120" ht="15.75" customHeight="1">
      <c r="A120" s="14" t="str">
        <f>IF('Item Master'!B120="","",'Item Master'!B120)</f>
        <v/>
      </c>
      <c r="B120" s="14" t="str">
        <f>IF($A120="","",'Item Master'!C120)</f>
        <v/>
      </c>
      <c r="C120" s="14" t="str">
        <f>IF($A120="","",'Item Master'!G120)</f>
        <v/>
      </c>
      <c r="D120" s="19" t="str">
        <f>IF($A120="","",SUMIFS('Stock OUT (Issue)'!$G$3:$G$302,'Stock OUT (Issue)'!$D$3:$D$302,$A120,'Stock OUT (Issue)'!$C$3:$C$302,"JOB-01"))</f>
        <v/>
      </c>
      <c r="E120" s="19" t="str">
        <f>IF($A120="","",SUMIFS('Stock OUT (Issue)'!$G$3:$G$302,'Stock OUT (Issue)'!$D$3:$D$302,$A120,'Stock OUT (Issue)'!$C$3:$C$302,"JOB-02"))</f>
        <v/>
      </c>
      <c r="F120" s="19" t="str">
        <f>IF($A120="","",SUMIFS('Stock OUT (Issue)'!$G$3:$G$302,'Stock OUT (Issue)'!$D$3:$D$302,$A120,'Stock OUT (Issue)'!$C$3:$C$302,"JOB-03"))</f>
        <v/>
      </c>
      <c r="G120" s="19" t="str">
        <f>IF($A120="","",SUMIFS('Stock OUT (Issue)'!$G$3:$G$302,'Stock OUT (Issue)'!$D$3:$D$302,$A120,'Stock OUT (Issue)'!$C$3:$C$302,"JOB-04"))</f>
        <v/>
      </c>
      <c r="H120" s="19" t="str">
        <f>IF($A120="","",SUMIFS('Stock OUT (Issue)'!$G$3:$G$302,'Stock OUT (Issue)'!$D$3:$D$302,$A120,'Stock OUT (Issue)'!$C$3:$C$302,"JOB-05"))</f>
        <v/>
      </c>
      <c r="I120" s="19" t="str">
        <f t="shared" si="1"/>
        <v/>
      </c>
    </row>
    <row r="121" ht="15.75" customHeight="1">
      <c r="A121" s="14" t="str">
        <f>IF('Item Master'!B121="","",'Item Master'!B121)</f>
        <v/>
      </c>
      <c r="B121" s="14" t="str">
        <f>IF($A121="","",'Item Master'!C121)</f>
        <v/>
      </c>
      <c r="C121" s="14" t="str">
        <f>IF($A121="","",'Item Master'!G121)</f>
        <v/>
      </c>
      <c r="D121" s="19" t="str">
        <f>IF($A121="","",SUMIFS('Stock OUT (Issue)'!$G$3:$G$302,'Stock OUT (Issue)'!$D$3:$D$302,$A121,'Stock OUT (Issue)'!$C$3:$C$302,"JOB-01"))</f>
        <v/>
      </c>
      <c r="E121" s="19" t="str">
        <f>IF($A121="","",SUMIFS('Stock OUT (Issue)'!$G$3:$G$302,'Stock OUT (Issue)'!$D$3:$D$302,$A121,'Stock OUT (Issue)'!$C$3:$C$302,"JOB-02"))</f>
        <v/>
      </c>
      <c r="F121" s="19" t="str">
        <f>IF($A121="","",SUMIFS('Stock OUT (Issue)'!$G$3:$G$302,'Stock OUT (Issue)'!$D$3:$D$302,$A121,'Stock OUT (Issue)'!$C$3:$C$302,"JOB-03"))</f>
        <v/>
      </c>
      <c r="G121" s="19" t="str">
        <f>IF($A121="","",SUMIFS('Stock OUT (Issue)'!$G$3:$G$302,'Stock OUT (Issue)'!$D$3:$D$302,$A121,'Stock OUT (Issue)'!$C$3:$C$302,"JOB-04"))</f>
        <v/>
      </c>
      <c r="H121" s="19" t="str">
        <f>IF($A121="","",SUMIFS('Stock OUT (Issue)'!$G$3:$G$302,'Stock OUT (Issue)'!$D$3:$D$302,$A121,'Stock OUT (Issue)'!$C$3:$C$302,"JOB-05"))</f>
        <v/>
      </c>
      <c r="I121" s="19" t="str">
        <f t="shared" si="1"/>
        <v/>
      </c>
    </row>
    <row r="122" ht="15.75" customHeight="1">
      <c r="A122" s="14" t="str">
        <f>IF('Item Master'!B122="","",'Item Master'!B122)</f>
        <v/>
      </c>
      <c r="B122" s="14" t="str">
        <f>IF($A122="","",'Item Master'!C122)</f>
        <v/>
      </c>
      <c r="C122" s="14" t="str">
        <f>IF($A122="","",'Item Master'!G122)</f>
        <v/>
      </c>
      <c r="D122" s="19" t="str">
        <f>IF($A122="","",SUMIFS('Stock OUT (Issue)'!$G$3:$G$302,'Stock OUT (Issue)'!$D$3:$D$302,$A122,'Stock OUT (Issue)'!$C$3:$C$302,"JOB-01"))</f>
        <v/>
      </c>
      <c r="E122" s="19" t="str">
        <f>IF($A122="","",SUMIFS('Stock OUT (Issue)'!$G$3:$G$302,'Stock OUT (Issue)'!$D$3:$D$302,$A122,'Stock OUT (Issue)'!$C$3:$C$302,"JOB-02"))</f>
        <v/>
      </c>
      <c r="F122" s="19" t="str">
        <f>IF($A122="","",SUMIFS('Stock OUT (Issue)'!$G$3:$G$302,'Stock OUT (Issue)'!$D$3:$D$302,$A122,'Stock OUT (Issue)'!$C$3:$C$302,"JOB-03"))</f>
        <v/>
      </c>
      <c r="G122" s="19" t="str">
        <f>IF($A122="","",SUMIFS('Stock OUT (Issue)'!$G$3:$G$302,'Stock OUT (Issue)'!$D$3:$D$302,$A122,'Stock OUT (Issue)'!$C$3:$C$302,"JOB-04"))</f>
        <v/>
      </c>
      <c r="H122" s="19" t="str">
        <f>IF($A122="","",SUMIFS('Stock OUT (Issue)'!$G$3:$G$302,'Stock OUT (Issue)'!$D$3:$D$302,$A122,'Stock OUT (Issue)'!$C$3:$C$302,"JOB-05"))</f>
        <v/>
      </c>
      <c r="I122" s="19" t="str">
        <f t="shared" si="1"/>
        <v/>
      </c>
    </row>
    <row r="123" ht="15.75" customHeight="1">
      <c r="A123" s="14" t="str">
        <f>IF('Item Master'!B123="","",'Item Master'!B123)</f>
        <v/>
      </c>
      <c r="B123" s="14" t="str">
        <f>IF($A123="","",'Item Master'!C123)</f>
        <v/>
      </c>
      <c r="C123" s="14" t="str">
        <f>IF($A123="","",'Item Master'!G123)</f>
        <v/>
      </c>
      <c r="D123" s="19" t="str">
        <f>IF($A123="","",SUMIFS('Stock OUT (Issue)'!$G$3:$G$302,'Stock OUT (Issue)'!$D$3:$D$302,$A123,'Stock OUT (Issue)'!$C$3:$C$302,"JOB-01"))</f>
        <v/>
      </c>
      <c r="E123" s="19" t="str">
        <f>IF($A123="","",SUMIFS('Stock OUT (Issue)'!$G$3:$G$302,'Stock OUT (Issue)'!$D$3:$D$302,$A123,'Stock OUT (Issue)'!$C$3:$C$302,"JOB-02"))</f>
        <v/>
      </c>
      <c r="F123" s="19" t="str">
        <f>IF($A123="","",SUMIFS('Stock OUT (Issue)'!$G$3:$G$302,'Stock OUT (Issue)'!$D$3:$D$302,$A123,'Stock OUT (Issue)'!$C$3:$C$302,"JOB-03"))</f>
        <v/>
      </c>
      <c r="G123" s="19" t="str">
        <f>IF($A123="","",SUMIFS('Stock OUT (Issue)'!$G$3:$G$302,'Stock OUT (Issue)'!$D$3:$D$302,$A123,'Stock OUT (Issue)'!$C$3:$C$302,"JOB-04"))</f>
        <v/>
      </c>
      <c r="H123" s="19" t="str">
        <f>IF($A123="","",SUMIFS('Stock OUT (Issue)'!$G$3:$G$302,'Stock OUT (Issue)'!$D$3:$D$302,$A123,'Stock OUT (Issue)'!$C$3:$C$302,"JOB-05"))</f>
        <v/>
      </c>
      <c r="I123" s="19" t="str">
        <f t="shared" si="1"/>
        <v/>
      </c>
    </row>
    <row r="124" ht="15.75" customHeight="1">
      <c r="A124" s="14" t="str">
        <f>IF('Item Master'!B124="","",'Item Master'!B124)</f>
        <v/>
      </c>
      <c r="B124" s="14" t="str">
        <f>IF($A124="","",'Item Master'!C124)</f>
        <v/>
      </c>
      <c r="C124" s="14" t="str">
        <f>IF($A124="","",'Item Master'!G124)</f>
        <v/>
      </c>
      <c r="D124" s="19" t="str">
        <f>IF($A124="","",SUMIFS('Stock OUT (Issue)'!$G$3:$G$302,'Stock OUT (Issue)'!$D$3:$D$302,$A124,'Stock OUT (Issue)'!$C$3:$C$302,"JOB-01"))</f>
        <v/>
      </c>
      <c r="E124" s="19" t="str">
        <f>IF($A124="","",SUMIFS('Stock OUT (Issue)'!$G$3:$G$302,'Stock OUT (Issue)'!$D$3:$D$302,$A124,'Stock OUT (Issue)'!$C$3:$C$302,"JOB-02"))</f>
        <v/>
      </c>
      <c r="F124" s="19" t="str">
        <f>IF($A124="","",SUMIFS('Stock OUT (Issue)'!$G$3:$G$302,'Stock OUT (Issue)'!$D$3:$D$302,$A124,'Stock OUT (Issue)'!$C$3:$C$302,"JOB-03"))</f>
        <v/>
      </c>
      <c r="G124" s="19" t="str">
        <f>IF($A124="","",SUMIFS('Stock OUT (Issue)'!$G$3:$G$302,'Stock OUT (Issue)'!$D$3:$D$302,$A124,'Stock OUT (Issue)'!$C$3:$C$302,"JOB-04"))</f>
        <v/>
      </c>
      <c r="H124" s="19" t="str">
        <f>IF($A124="","",SUMIFS('Stock OUT (Issue)'!$G$3:$G$302,'Stock OUT (Issue)'!$D$3:$D$302,$A124,'Stock OUT (Issue)'!$C$3:$C$302,"JOB-05"))</f>
        <v/>
      </c>
      <c r="I124" s="19" t="str">
        <f t="shared" si="1"/>
        <v/>
      </c>
    </row>
    <row r="125" ht="15.75" customHeight="1">
      <c r="A125" s="14" t="str">
        <f>IF('Item Master'!B125="","",'Item Master'!B125)</f>
        <v/>
      </c>
      <c r="B125" s="14" t="str">
        <f>IF($A125="","",'Item Master'!C125)</f>
        <v/>
      </c>
      <c r="C125" s="14" t="str">
        <f>IF($A125="","",'Item Master'!G125)</f>
        <v/>
      </c>
      <c r="D125" s="19" t="str">
        <f>IF($A125="","",SUMIFS('Stock OUT (Issue)'!$G$3:$G$302,'Stock OUT (Issue)'!$D$3:$D$302,$A125,'Stock OUT (Issue)'!$C$3:$C$302,"JOB-01"))</f>
        <v/>
      </c>
      <c r="E125" s="19" t="str">
        <f>IF($A125="","",SUMIFS('Stock OUT (Issue)'!$G$3:$G$302,'Stock OUT (Issue)'!$D$3:$D$302,$A125,'Stock OUT (Issue)'!$C$3:$C$302,"JOB-02"))</f>
        <v/>
      </c>
      <c r="F125" s="19" t="str">
        <f>IF($A125="","",SUMIFS('Stock OUT (Issue)'!$G$3:$G$302,'Stock OUT (Issue)'!$D$3:$D$302,$A125,'Stock OUT (Issue)'!$C$3:$C$302,"JOB-03"))</f>
        <v/>
      </c>
      <c r="G125" s="19" t="str">
        <f>IF($A125="","",SUMIFS('Stock OUT (Issue)'!$G$3:$G$302,'Stock OUT (Issue)'!$D$3:$D$302,$A125,'Stock OUT (Issue)'!$C$3:$C$302,"JOB-04"))</f>
        <v/>
      </c>
      <c r="H125" s="19" t="str">
        <f>IF($A125="","",SUMIFS('Stock OUT (Issue)'!$G$3:$G$302,'Stock OUT (Issue)'!$D$3:$D$302,$A125,'Stock OUT (Issue)'!$C$3:$C$302,"JOB-05"))</f>
        <v/>
      </c>
      <c r="I125" s="19" t="str">
        <f t="shared" si="1"/>
        <v/>
      </c>
    </row>
    <row r="126" ht="15.75" customHeight="1">
      <c r="A126" s="14" t="str">
        <f>IF('Item Master'!B126="","",'Item Master'!B126)</f>
        <v/>
      </c>
      <c r="B126" s="14" t="str">
        <f>IF($A126="","",'Item Master'!C126)</f>
        <v/>
      </c>
      <c r="C126" s="14" t="str">
        <f>IF($A126="","",'Item Master'!G126)</f>
        <v/>
      </c>
      <c r="D126" s="19" t="str">
        <f>IF($A126="","",SUMIFS('Stock OUT (Issue)'!$G$3:$G$302,'Stock OUT (Issue)'!$D$3:$D$302,$A126,'Stock OUT (Issue)'!$C$3:$C$302,"JOB-01"))</f>
        <v/>
      </c>
      <c r="E126" s="19" t="str">
        <f>IF($A126="","",SUMIFS('Stock OUT (Issue)'!$G$3:$G$302,'Stock OUT (Issue)'!$D$3:$D$302,$A126,'Stock OUT (Issue)'!$C$3:$C$302,"JOB-02"))</f>
        <v/>
      </c>
      <c r="F126" s="19" t="str">
        <f>IF($A126="","",SUMIFS('Stock OUT (Issue)'!$G$3:$G$302,'Stock OUT (Issue)'!$D$3:$D$302,$A126,'Stock OUT (Issue)'!$C$3:$C$302,"JOB-03"))</f>
        <v/>
      </c>
      <c r="G126" s="19" t="str">
        <f>IF($A126="","",SUMIFS('Stock OUT (Issue)'!$G$3:$G$302,'Stock OUT (Issue)'!$D$3:$D$302,$A126,'Stock OUT (Issue)'!$C$3:$C$302,"JOB-04"))</f>
        <v/>
      </c>
      <c r="H126" s="19" t="str">
        <f>IF($A126="","",SUMIFS('Stock OUT (Issue)'!$G$3:$G$302,'Stock OUT (Issue)'!$D$3:$D$302,$A126,'Stock OUT (Issue)'!$C$3:$C$302,"JOB-05"))</f>
        <v/>
      </c>
      <c r="I126" s="19" t="str">
        <f t="shared" si="1"/>
        <v/>
      </c>
    </row>
    <row r="127" ht="15.75" customHeight="1">
      <c r="A127" s="14" t="str">
        <f>IF('Item Master'!B127="","",'Item Master'!B127)</f>
        <v/>
      </c>
      <c r="B127" s="14" t="str">
        <f>IF($A127="","",'Item Master'!C127)</f>
        <v/>
      </c>
      <c r="C127" s="14" t="str">
        <f>IF($A127="","",'Item Master'!G127)</f>
        <v/>
      </c>
      <c r="D127" s="19" t="str">
        <f>IF($A127="","",SUMIFS('Stock OUT (Issue)'!$G$3:$G$302,'Stock OUT (Issue)'!$D$3:$D$302,$A127,'Stock OUT (Issue)'!$C$3:$C$302,"JOB-01"))</f>
        <v/>
      </c>
      <c r="E127" s="19" t="str">
        <f>IF($A127="","",SUMIFS('Stock OUT (Issue)'!$G$3:$G$302,'Stock OUT (Issue)'!$D$3:$D$302,$A127,'Stock OUT (Issue)'!$C$3:$C$302,"JOB-02"))</f>
        <v/>
      </c>
      <c r="F127" s="19" t="str">
        <f>IF($A127="","",SUMIFS('Stock OUT (Issue)'!$G$3:$G$302,'Stock OUT (Issue)'!$D$3:$D$302,$A127,'Stock OUT (Issue)'!$C$3:$C$302,"JOB-03"))</f>
        <v/>
      </c>
      <c r="G127" s="19" t="str">
        <f>IF($A127="","",SUMIFS('Stock OUT (Issue)'!$G$3:$G$302,'Stock OUT (Issue)'!$D$3:$D$302,$A127,'Stock OUT (Issue)'!$C$3:$C$302,"JOB-04"))</f>
        <v/>
      </c>
      <c r="H127" s="19" t="str">
        <f>IF($A127="","",SUMIFS('Stock OUT (Issue)'!$G$3:$G$302,'Stock OUT (Issue)'!$D$3:$D$302,$A127,'Stock OUT (Issue)'!$C$3:$C$302,"JOB-05"))</f>
        <v/>
      </c>
      <c r="I127" s="19" t="str">
        <f t="shared" si="1"/>
        <v/>
      </c>
    </row>
    <row r="128" ht="15.75" customHeight="1">
      <c r="A128" s="14" t="str">
        <f>IF('Item Master'!B128="","",'Item Master'!B128)</f>
        <v/>
      </c>
      <c r="B128" s="14" t="str">
        <f>IF($A128="","",'Item Master'!C128)</f>
        <v/>
      </c>
      <c r="C128" s="14" t="str">
        <f>IF($A128="","",'Item Master'!G128)</f>
        <v/>
      </c>
      <c r="D128" s="19" t="str">
        <f>IF($A128="","",SUMIFS('Stock OUT (Issue)'!$G$3:$G$302,'Stock OUT (Issue)'!$D$3:$D$302,$A128,'Stock OUT (Issue)'!$C$3:$C$302,"JOB-01"))</f>
        <v/>
      </c>
      <c r="E128" s="19" t="str">
        <f>IF($A128="","",SUMIFS('Stock OUT (Issue)'!$G$3:$G$302,'Stock OUT (Issue)'!$D$3:$D$302,$A128,'Stock OUT (Issue)'!$C$3:$C$302,"JOB-02"))</f>
        <v/>
      </c>
      <c r="F128" s="19" t="str">
        <f>IF($A128="","",SUMIFS('Stock OUT (Issue)'!$G$3:$G$302,'Stock OUT (Issue)'!$D$3:$D$302,$A128,'Stock OUT (Issue)'!$C$3:$C$302,"JOB-03"))</f>
        <v/>
      </c>
      <c r="G128" s="19" t="str">
        <f>IF($A128="","",SUMIFS('Stock OUT (Issue)'!$G$3:$G$302,'Stock OUT (Issue)'!$D$3:$D$302,$A128,'Stock OUT (Issue)'!$C$3:$C$302,"JOB-04"))</f>
        <v/>
      </c>
      <c r="H128" s="19" t="str">
        <f>IF($A128="","",SUMIFS('Stock OUT (Issue)'!$G$3:$G$302,'Stock OUT (Issue)'!$D$3:$D$302,$A128,'Stock OUT (Issue)'!$C$3:$C$302,"JOB-05"))</f>
        <v/>
      </c>
      <c r="I128" s="19" t="str">
        <f t="shared" si="1"/>
        <v/>
      </c>
    </row>
    <row r="129" ht="15.75" customHeight="1">
      <c r="A129" s="14" t="str">
        <f>IF('Item Master'!B129="","",'Item Master'!B129)</f>
        <v/>
      </c>
      <c r="B129" s="14" t="str">
        <f>IF($A129="","",'Item Master'!C129)</f>
        <v/>
      </c>
      <c r="C129" s="14" t="str">
        <f>IF($A129="","",'Item Master'!G129)</f>
        <v/>
      </c>
      <c r="D129" s="19" t="str">
        <f>IF($A129="","",SUMIFS('Stock OUT (Issue)'!$G$3:$G$302,'Stock OUT (Issue)'!$D$3:$D$302,$A129,'Stock OUT (Issue)'!$C$3:$C$302,"JOB-01"))</f>
        <v/>
      </c>
      <c r="E129" s="19" t="str">
        <f>IF($A129="","",SUMIFS('Stock OUT (Issue)'!$G$3:$G$302,'Stock OUT (Issue)'!$D$3:$D$302,$A129,'Stock OUT (Issue)'!$C$3:$C$302,"JOB-02"))</f>
        <v/>
      </c>
      <c r="F129" s="19" t="str">
        <f>IF($A129="","",SUMIFS('Stock OUT (Issue)'!$G$3:$G$302,'Stock OUT (Issue)'!$D$3:$D$302,$A129,'Stock OUT (Issue)'!$C$3:$C$302,"JOB-03"))</f>
        <v/>
      </c>
      <c r="G129" s="19" t="str">
        <f>IF($A129="","",SUMIFS('Stock OUT (Issue)'!$G$3:$G$302,'Stock OUT (Issue)'!$D$3:$D$302,$A129,'Stock OUT (Issue)'!$C$3:$C$302,"JOB-04"))</f>
        <v/>
      </c>
      <c r="H129" s="19" t="str">
        <f>IF($A129="","",SUMIFS('Stock OUT (Issue)'!$G$3:$G$302,'Stock OUT (Issue)'!$D$3:$D$302,$A129,'Stock OUT (Issue)'!$C$3:$C$302,"JOB-05"))</f>
        <v/>
      </c>
      <c r="I129" s="19" t="str">
        <f t="shared" si="1"/>
        <v/>
      </c>
    </row>
    <row r="130" ht="15.75" customHeight="1">
      <c r="A130" s="14" t="str">
        <f>IF('Item Master'!B130="","",'Item Master'!B130)</f>
        <v/>
      </c>
      <c r="B130" s="14" t="str">
        <f>IF($A130="","",'Item Master'!C130)</f>
        <v/>
      </c>
      <c r="C130" s="14" t="str">
        <f>IF($A130="","",'Item Master'!G130)</f>
        <v/>
      </c>
      <c r="D130" s="19" t="str">
        <f>IF($A130="","",SUMIFS('Stock OUT (Issue)'!$G$3:$G$302,'Stock OUT (Issue)'!$D$3:$D$302,$A130,'Stock OUT (Issue)'!$C$3:$C$302,"JOB-01"))</f>
        <v/>
      </c>
      <c r="E130" s="19" t="str">
        <f>IF($A130="","",SUMIFS('Stock OUT (Issue)'!$G$3:$G$302,'Stock OUT (Issue)'!$D$3:$D$302,$A130,'Stock OUT (Issue)'!$C$3:$C$302,"JOB-02"))</f>
        <v/>
      </c>
      <c r="F130" s="19" t="str">
        <f>IF($A130="","",SUMIFS('Stock OUT (Issue)'!$G$3:$G$302,'Stock OUT (Issue)'!$D$3:$D$302,$A130,'Stock OUT (Issue)'!$C$3:$C$302,"JOB-03"))</f>
        <v/>
      </c>
      <c r="G130" s="19" t="str">
        <f>IF($A130="","",SUMIFS('Stock OUT (Issue)'!$G$3:$G$302,'Stock OUT (Issue)'!$D$3:$D$302,$A130,'Stock OUT (Issue)'!$C$3:$C$302,"JOB-04"))</f>
        <v/>
      </c>
      <c r="H130" s="19" t="str">
        <f>IF($A130="","",SUMIFS('Stock OUT (Issue)'!$G$3:$G$302,'Stock OUT (Issue)'!$D$3:$D$302,$A130,'Stock OUT (Issue)'!$C$3:$C$302,"JOB-05"))</f>
        <v/>
      </c>
      <c r="I130" s="19" t="str">
        <f t="shared" si="1"/>
        <v/>
      </c>
    </row>
    <row r="131" ht="15.75" customHeight="1">
      <c r="A131" s="14" t="str">
        <f>IF('Item Master'!B131="","",'Item Master'!B131)</f>
        <v/>
      </c>
      <c r="B131" s="14" t="str">
        <f>IF($A131="","",'Item Master'!C131)</f>
        <v/>
      </c>
      <c r="C131" s="14" t="str">
        <f>IF($A131="","",'Item Master'!G131)</f>
        <v/>
      </c>
      <c r="D131" s="19" t="str">
        <f>IF($A131="","",SUMIFS('Stock OUT (Issue)'!$G$3:$G$302,'Stock OUT (Issue)'!$D$3:$D$302,$A131,'Stock OUT (Issue)'!$C$3:$C$302,"JOB-01"))</f>
        <v/>
      </c>
      <c r="E131" s="19" t="str">
        <f>IF($A131="","",SUMIFS('Stock OUT (Issue)'!$G$3:$G$302,'Stock OUT (Issue)'!$D$3:$D$302,$A131,'Stock OUT (Issue)'!$C$3:$C$302,"JOB-02"))</f>
        <v/>
      </c>
      <c r="F131" s="19" t="str">
        <f>IF($A131="","",SUMIFS('Stock OUT (Issue)'!$G$3:$G$302,'Stock OUT (Issue)'!$D$3:$D$302,$A131,'Stock OUT (Issue)'!$C$3:$C$302,"JOB-03"))</f>
        <v/>
      </c>
      <c r="G131" s="19" t="str">
        <f>IF($A131="","",SUMIFS('Stock OUT (Issue)'!$G$3:$G$302,'Stock OUT (Issue)'!$D$3:$D$302,$A131,'Stock OUT (Issue)'!$C$3:$C$302,"JOB-04"))</f>
        <v/>
      </c>
      <c r="H131" s="19" t="str">
        <f>IF($A131="","",SUMIFS('Stock OUT (Issue)'!$G$3:$G$302,'Stock OUT (Issue)'!$D$3:$D$302,$A131,'Stock OUT (Issue)'!$C$3:$C$302,"JOB-05"))</f>
        <v/>
      </c>
      <c r="I131" s="19" t="str">
        <f t="shared" si="1"/>
        <v/>
      </c>
    </row>
    <row r="132" ht="15.75" customHeight="1">
      <c r="A132" s="14" t="str">
        <f>IF('Item Master'!B132="","",'Item Master'!B132)</f>
        <v/>
      </c>
      <c r="B132" s="14" t="str">
        <f>IF($A132="","",'Item Master'!C132)</f>
        <v/>
      </c>
      <c r="C132" s="14" t="str">
        <f>IF($A132="","",'Item Master'!G132)</f>
        <v/>
      </c>
      <c r="D132" s="19" t="str">
        <f>IF($A132="","",SUMIFS('Stock OUT (Issue)'!$G$3:$G$302,'Stock OUT (Issue)'!$D$3:$D$302,$A132,'Stock OUT (Issue)'!$C$3:$C$302,"JOB-01"))</f>
        <v/>
      </c>
      <c r="E132" s="19" t="str">
        <f>IF($A132="","",SUMIFS('Stock OUT (Issue)'!$G$3:$G$302,'Stock OUT (Issue)'!$D$3:$D$302,$A132,'Stock OUT (Issue)'!$C$3:$C$302,"JOB-02"))</f>
        <v/>
      </c>
      <c r="F132" s="19" t="str">
        <f>IF($A132="","",SUMIFS('Stock OUT (Issue)'!$G$3:$G$302,'Stock OUT (Issue)'!$D$3:$D$302,$A132,'Stock OUT (Issue)'!$C$3:$C$302,"JOB-03"))</f>
        <v/>
      </c>
      <c r="G132" s="19" t="str">
        <f>IF($A132="","",SUMIFS('Stock OUT (Issue)'!$G$3:$G$302,'Stock OUT (Issue)'!$D$3:$D$302,$A132,'Stock OUT (Issue)'!$C$3:$C$302,"JOB-04"))</f>
        <v/>
      </c>
      <c r="H132" s="19" t="str">
        <f>IF($A132="","",SUMIFS('Stock OUT (Issue)'!$G$3:$G$302,'Stock OUT (Issue)'!$D$3:$D$302,$A132,'Stock OUT (Issue)'!$C$3:$C$302,"JOB-05"))</f>
        <v/>
      </c>
      <c r="I132" s="19" t="str">
        <f t="shared" si="1"/>
        <v/>
      </c>
    </row>
    <row r="133" ht="15.75" customHeight="1">
      <c r="A133" s="14" t="str">
        <f>IF('Item Master'!B133="","",'Item Master'!B133)</f>
        <v/>
      </c>
      <c r="B133" s="14" t="str">
        <f>IF($A133="","",'Item Master'!C133)</f>
        <v/>
      </c>
      <c r="C133" s="14" t="str">
        <f>IF($A133="","",'Item Master'!G133)</f>
        <v/>
      </c>
      <c r="D133" s="19" t="str">
        <f>IF($A133="","",SUMIFS('Stock OUT (Issue)'!$G$3:$G$302,'Stock OUT (Issue)'!$D$3:$D$302,$A133,'Stock OUT (Issue)'!$C$3:$C$302,"JOB-01"))</f>
        <v/>
      </c>
      <c r="E133" s="19" t="str">
        <f>IF($A133="","",SUMIFS('Stock OUT (Issue)'!$G$3:$G$302,'Stock OUT (Issue)'!$D$3:$D$302,$A133,'Stock OUT (Issue)'!$C$3:$C$302,"JOB-02"))</f>
        <v/>
      </c>
      <c r="F133" s="19" t="str">
        <f>IF($A133="","",SUMIFS('Stock OUT (Issue)'!$G$3:$G$302,'Stock OUT (Issue)'!$D$3:$D$302,$A133,'Stock OUT (Issue)'!$C$3:$C$302,"JOB-03"))</f>
        <v/>
      </c>
      <c r="G133" s="19" t="str">
        <f>IF($A133="","",SUMIFS('Stock OUT (Issue)'!$G$3:$G$302,'Stock OUT (Issue)'!$D$3:$D$302,$A133,'Stock OUT (Issue)'!$C$3:$C$302,"JOB-04"))</f>
        <v/>
      </c>
      <c r="H133" s="19" t="str">
        <f>IF($A133="","",SUMIFS('Stock OUT (Issue)'!$G$3:$G$302,'Stock OUT (Issue)'!$D$3:$D$302,$A133,'Stock OUT (Issue)'!$C$3:$C$302,"JOB-05"))</f>
        <v/>
      </c>
      <c r="I133" s="19" t="str">
        <f t="shared" si="1"/>
        <v/>
      </c>
    </row>
    <row r="134" ht="15.75" customHeight="1">
      <c r="A134" s="14" t="str">
        <f>IF('Item Master'!B134="","",'Item Master'!B134)</f>
        <v/>
      </c>
      <c r="B134" s="14" t="str">
        <f>IF($A134="","",'Item Master'!C134)</f>
        <v/>
      </c>
      <c r="C134" s="14" t="str">
        <f>IF($A134="","",'Item Master'!G134)</f>
        <v/>
      </c>
      <c r="D134" s="19" t="str">
        <f>IF($A134="","",SUMIFS('Stock OUT (Issue)'!$G$3:$G$302,'Stock OUT (Issue)'!$D$3:$D$302,$A134,'Stock OUT (Issue)'!$C$3:$C$302,"JOB-01"))</f>
        <v/>
      </c>
      <c r="E134" s="19" t="str">
        <f>IF($A134="","",SUMIFS('Stock OUT (Issue)'!$G$3:$G$302,'Stock OUT (Issue)'!$D$3:$D$302,$A134,'Stock OUT (Issue)'!$C$3:$C$302,"JOB-02"))</f>
        <v/>
      </c>
      <c r="F134" s="19" t="str">
        <f>IF($A134="","",SUMIFS('Stock OUT (Issue)'!$G$3:$G$302,'Stock OUT (Issue)'!$D$3:$D$302,$A134,'Stock OUT (Issue)'!$C$3:$C$302,"JOB-03"))</f>
        <v/>
      </c>
      <c r="G134" s="19" t="str">
        <f>IF($A134="","",SUMIFS('Stock OUT (Issue)'!$G$3:$G$302,'Stock OUT (Issue)'!$D$3:$D$302,$A134,'Stock OUT (Issue)'!$C$3:$C$302,"JOB-04"))</f>
        <v/>
      </c>
      <c r="H134" s="19" t="str">
        <f>IF($A134="","",SUMIFS('Stock OUT (Issue)'!$G$3:$G$302,'Stock OUT (Issue)'!$D$3:$D$302,$A134,'Stock OUT (Issue)'!$C$3:$C$302,"JOB-05"))</f>
        <v/>
      </c>
      <c r="I134" s="19" t="str">
        <f t="shared" si="1"/>
        <v/>
      </c>
    </row>
    <row r="135" ht="15.75" customHeight="1">
      <c r="A135" s="14" t="str">
        <f>IF('Item Master'!B135="","",'Item Master'!B135)</f>
        <v/>
      </c>
      <c r="B135" s="14" t="str">
        <f>IF($A135="","",'Item Master'!C135)</f>
        <v/>
      </c>
      <c r="C135" s="14" t="str">
        <f>IF($A135="","",'Item Master'!G135)</f>
        <v/>
      </c>
      <c r="D135" s="19" t="str">
        <f>IF($A135="","",SUMIFS('Stock OUT (Issue)'!$G$3:$G$302,'Stock OUT (Issue)'!$D$3:$D$302,$A135,'Stock OUT (Issue)'!$C$3:$C$302,"JOB-01"))</f>
        <v/>
      </c>
      <c r="E135" s="19" t="str">
        <f>IF($A135="","",SUMIFS('Stock OUT (Issue)'!$G$3:$G$302,'Stock OUT (Issue)'!$D$3:$D$302,$A135,'Stock OUT (Issue)'!$C$3:$C$302,"JOB-02"))</f>
        <v/>
      </c>
      <c r="F135" s="19" t="str">
        <f>IF($A135="","",SUMIFS('Stock OUT (Issue)'!$G$3:$G$302,'Stock OUT (Issue)'!$D$3:$D$302,$A135,'Stock OUT (Issue)'!$C$3:$C$302,"JOB-03"))</f>
        <v/>
      </c>
      <c r="G135" s="19" t="str">
        <f>IF($A135="","",SUMIFS('Stock OUT (Issue)'!$G$3:$G$302,'Stock OUT (Issue)'!$D$3:$D$302,$A135,'Stock OUT (Issue)'!$C$3:$C$302,"JOB-04"))</f>
        <v/>
      </c>
      <c r="H135" s="19" t="str">
        <f>IF($A135="","",SUMIFS('Stock OUT (Issue)'!$G$3:$G$302,'Stock OUT (Issue)'!$D$3:$D$302,$A135,'Stock OUT (Issue)'!$C$3:$C$302,"JOB-05"))</f>
        <v/>
      </c>
      <c r="I135" s="19" t="str">
        <f t="shared" si="1"/>
        <v/>
      </c>
    </row>
    <row r="136" ht="15.75" customHeight="1">
      <c r="A136" s="14" t="str">
        <f>IF('Item Master'!B136="","",'Item Master'!B136)</f>
        <v/>
      </c>
      <c r="B136" s="14" t="str">
        <f>IF($A136="","",'Item Master'!C136)</f>
        <v/>
      </c>
      <c r="C136" s="14" t="str">
        <f>IF($A136="","",'Item Master'!G136)</f>
        <v/>
      </c>
      <c r="D136" s="19" t="str">
        <f>IF($A136="","",SUMIFS('Stock OUT (Issue)'!$G$3:$G$302,'Stock OUT (Issue)'!$D$3:$D$302,$A136,'Stock OUT (Issue)'!$C$3:$C$302,"JOB-01"))</f>
        <v/>
      </c>
      <c r="E136" s="19" t="str">
        <f>IF($A136="","",SUMIFS('Stock OUT (Issue)'!$G$3:$G$302,'Stock OUT (Issue)'!$D$3:$D$302,$A136,'Stock OUT (Issue)'!$C$3:$C$302,"JOB-02"))</f>
        <v/>
      </c>
      <c r="F136" s="19" t="str">
        <f>IF($A136="","",SUMIFS('Stock OUT (Issue)'!$G$3:$G$302,'Stock OUT (Issue)'!$D$3:$D$302,$A136,'Stock OUT (Issue)'!$C$3:$C$302,"JOB-03"))</f>
        <v/>
      </c>
      <c r="G136" s="19" t="str">
        <f>IF($A136="","",SUMIFS('Stock OUT (Issue)'!$G$3:$G$302,'Stock OUT (Issue)'!$D$3:$D$302,$A136,'Stock OUT (Issue)'!$C$3:$C$302,"JOB-04"))</f>
        <v/>
      </c>
      <c r="H136" s="19" t="str">
        <f>IF($A136="","",SUMIFS('Stock OUT (Issue)'!$G$3:$G$302,'Stock OUT (Issue)'!$D$3:$D$302,$A136,'Stock OUT (Issue)'!$C$3:$C$302,"JOB-05"))</f>
        <v/>
      </c>
      <c r="I136" s="19" t="str">
        <f t="shared" si="1"/>
        <v/>
      </c>
    </row>
    <row r="137" ht="15.75" customHeight="1">
      <c r="A137" s="14" t="str">
        <f>IF('Item Master'!B137="","",'Item Master'!B137)</f>
        <v/>
      </c>
      <c r="B137" s="14" t="str">
        <f>IF($A137="","",'Item Master'!C137)</f>
        <v/>
      </c>
      <c r="C137" s="14" t="str">
        <f>IF($A137="","",'Item Master'!G137)</f>
        <v/>
      </c>
      <c r="D137" s="19" t="str">
        <f>IF($A137="","",SUMIFS('Stock OUT (Issue)'!$G$3:$G$302,'Stock OUT (Issue)'!$D$3:$D$302,$A137,'Stock OUT (Issue)'!$C$3:$C$302,"JOB-01"))</f>
        <v/>
      </c>
      <c r="E137" s="19" t="str">
        <f>IF($A137="","",SUMIFS('Stock OUT (Issue)'!$G$3:$G$302,'Stock OUT (Issue)'!$D$3:$D$302,$A137,'Stock OUT (Issue)'!$C$3:$C$302,"JOB-02"))</f>
        <v/>
      </c>
      <c r="F137" s="19" t="str">
        <f>IF($A137="","",SUMIFS('Stock OUT (Issue)'!$G$3:$G$302,'Stock OUT (Issue)'!$D$3:$D$302,$A137,'Stock OUT (Issue)'!$C$3:$C$302,"JOB-03"))</f>
        <v/>
      </c>
      <c r="G137" s="19" t="str">
        <f>IF($A137="","",SUMIFS('Stock OUT (Issue)'!$G$3:$G$302,'Stock OUT (Issue)'!$D$3:$D$302,$A137,'Stock OUT (Issue)'!$C$3:$C$302,"JOB-04"))</f>
        <v/>
      </c>
      <c r="H137" s="19" t="str">
        <f>IF($A137="","",SUMIFS('Stock OUT (Issue)'!$G$3:$G$302,'Stock OUT (Issue)'!$D$3:$D$302,$A137,'Stock OUT (Issue)'!$C$3:$C$302,"JOB-05"))</f>
        <v/>
      </c>
      <c r="I137" s="19" t="str">
        <f t="shared" si="1"/>
        <v/>
      </c>
    </row>
    <row r="138" ht="15.75" customHeight="1">
      <c r="A138" s="14" t="str">
        <f>IF('Item Master'!B138="","",'Item Master'!B138)</f>
        <v/>
      </c>
      <c r="B138" s="14" t="str">
        <f>IF($A138="","",'Item Master'!C138)</f>
        <v/>
      </c>
      <c r="C138" s="14" t="str">
        <f>IF($A138="","",'Item Master'!G138)</f>
        <v/>
      </c>
      <c r="D138" s="19" t="str">
        <f>IF($A138="","",SUMIFS('Stock OUT (Issue)'!$G$3:$G$302,'Stock OUT (Issue)'!$D$3:$D$302,$A138,'Stock OUT (Issue)'!$C$3:$C$302,"JOB-01"))</f>
        <v/>
      </c>
      <c r="E138" s="19" t="str">
        <f>IF($A138="","",SUMIFS('Stock OUT (Issue)'!$G$3:$G$302,'Stock OUT (Issue)'!$D$3:$D$302,$A138,'Stock OUT (Issue)'!$C$3:$C$302,"JOB-02"))</f>
        <v/>
      </c>
      <c r="F138" s="19" t="str">
        <f>IF($A138="","",SUMIFS('Stock OUT (Issue)'!$G$3:$G$302,'Stock OUT (Issue)'!$D$3:$D$302,$A138,'Stock OUT (Issue)'!$C$3:$C$302,"JOB-03"))</f>
        <v/>
      </c>
      <c r="G138" s="19" t="str">
        <f>IF($A138="","",SUMIFS('Stock OUT (Issue)'!$G$3:$G$302,'Stock OUT (Issue)'!$D$3:$D$302,$A138,'Stock OUT (Issue)'!$C$3:$C$302,"JOB-04"))</f>
        <v/>
      </c>
      <c r="H138" s="19" t="str">
        <f>IF($A138="","",SUMIFS('Stock OUT (Issue)'!$G$3:$G$302,'Stock OUT (Issue)'!$D$3:$D$302,$A138,'Stock OUT (Issue)'!$C$3:$C$302,"JOB-05"))</f>
        <v/>
      </c>
      <c r="I138" s="19" t="str">
        <f t="shared" si="1"/>
        <v/>
      </c>
    </row>
    <row r="139" ht="15.75" customHeight="1">
      <c r="A139" s="14" t="str">
        <f>IF('Item Master'!B139="","",'Item Master'!B139)</f>
        <v/>
      </c>
      <c r="B139" s="14" t="str">
        <f>IF($A139="","",'Item Master'!C139)</f>
        <v/>
      </c>
      <c r="C139" s="14" t="str">
        <f>IF($A139="","",'Item Master'!G139)</f>
        <v/>
      </c>
      <c r="D139" s="19" t="str">
        <f>IF($A139="","",SUMIFS('Stock OUT (Issue)'!$G$3:$G$302,'Stock OUT (Issue)'!$D$3:$D$302,$A139,'Stock OUT (Issue)'!$C$3:$C$302,"JOB-01"))</f>
        <v/>
      </c>
      <c r="E139" s="19" t="str">
        <f>IF($A139="","",SUMIFS('Stock OUT (Issue)'!$G$3:$G$302,'Stock OUT (Issue)'!$D$3:$D$302,$A139,'Stock OUT (Issue)'!$C$3:$C$302,"JOB-02"))</f>
        <v/>
      </c>
      <c r="F139" s="19" t="str">
        <f>IF($A139="","",SUMIFS('Stock OUT (Issue)'!$G$3:$G$302,'Stock OUT (Issue)'!$D$3:$D$302,$A139,'Stock OUT (Issue)'!$C$3:$C$302,"JOB-03"))</f>
        <v/>
      </c>
      <c r="G139" s="19" t="str">
        <f>IF($A139="","",SUMIFS('Stock OUT (Issue)'!$G$3:$G$302,'Stock OUT (Issue)'!$D$3:$D$302,$A139,'Stock OUT (Issue)'!$C$3:$C$302,"JOB-04"))</f>
        <v/>
      </c>
      <c r="H139" s="19" t="str">
        <f>IF($A139="","",SUMIFS('Stock OUT (Issue)'!$G$3:$G$302,'Stock OUT (Issue)'!$D$3:$D$302,$A139,'Stock OUT (Issue)'!$C$3:$C$302,"JOB-05"))</f>
        <v/>
      </c>
      <c r="I139" s="19" t="str">
        <f t="shared" si="1"/>
        <v/>
      </c>
    </row>
    <row r="140" ht="15.75" customHeight="1">
      <c r="A140" s="14" t="str">
        <f>IF('Item Master'!B140="","",'Item Master'!B140)</f>
        <v/>
      </c>
      <c r="B140" s="14" t="str">
        <f>IF($A140="","",'Item Master'!C140)</f>
        <v/>
      </c>
      <c r="C140" s="14" t="str">
        <f>IF($A140="","",'Item Master'!G140)</f>
        <v/>
      </c>
      <c r="D140" s="19" t="str">
        <f>IF($A140="","",SUMIFS('Stock OUT (Issue)'!$G$3:$G$302,'Stock OUT (Issue)'!$D$3:$D$302,$A140,'Stock OUT (Issue)'!$C$3:$C$302,"JOB-01"))</f>
        <v/>
      </c>
      <c r="E140" s="19" t="str">
        <f>IF($A140="","",SUMIFS('Stock OUT (Issue)'!$G$3:$G$302,'Stock OUT (Issue)'!$D$3:$D$302,$A140,'Stock OUT (Issue)'!$C$3:$C$302,"JOB-02"))</f>
        <v/>
      </c>
      <c r="F140" s="19" t="str">
        <f>IF($A140="","",SUMIFS('Stock OUT (Issue)'!$G$3:$G$302,'Stock OUT (Issue)'!$D$3:$D$302,$A140,'Stock OUT (Issue)'!$C$3:$C$302,"JOB-03"))</f>
        <v/>
      </c>
      <c r="G140" s="19" t="str">
        <f>IF($A140="","",SUMIFS('Stock OUT (Issue)'!$G$3:$G$302,'Stock OUT (Issue)'!$D$3:$D$302,$A140,'Stock OUT (Issue)'!$C$3:$C$302,"JOB-04"))</f>
        <v/>
      </c>
      <c r="H140" s="19" t="str">
        <f>IF($A140="","",SUMIFS('Stock OUT (Issue)'!$G$3:$G$302,'Stock OUT (Issue)'!$D$3:$D$302,$A140,'Stock OUT (Issue)'!$C$3:$C$302,"JOB-05"))</f>
        <v/>
      </c>
      <c r="I140" s="19" t="str">
        <f t="shared" si="1"/>
        <v/>
      </c>
    </row>
    <row r="141" ht="15.75" customHeight="1">
      <c r="A141" s="14" t="str">
        <f>IF('Item Master'!B141="","",'Item Master'!B141)</f>
        <v/>
      </c>
      <c r="B141" s="14" t="str">
        <f>IF($A141="","",'Item Master'!C141)</f>
        <v/>
      </c>
      <c r="C141" s="14" t="str">
        <f>IF($A141="","",'Item Master'!G141)</f>
        <v/>
      </c>
      <c r="D141" s="19" t="str">
        <f>IF($A141="","",SUMIFS('Stock OUT (Issue)'!$G$3:$G$302,'Stock OUT (Issue)'!$D$3:$D$302,$A141,'Stock OUT (Issue)'!$C$3:$C$302,"JOB-01"))</f>
        <v/>
      </c>
      <c r="E141" s="19" t="str">
        <f>IF($A141="","",SUMIFS('Stock OUT (Issue)'!$G$3:$G$302,'Stock OUT (Issue)'!$D$3:$D$302,$A141,'Stock OUT (Issue)'!$C$3:$C$302,"JOB-02"))</f>
        <v/>
      </c>
      <c r="F141" s="19" t="str">
        <f>IF($A141="","",SUMIFS('Stock OUT (Issue)'!$G$3:$G$302,'Stock OUT (Issue)'!$D$3:$D$302,$A141,'Stock OUT (Issue)'!$C$3:$C$302,"JOB-03"))</f>
        <v/>
      </c>
      <c r="G141" s="19" t="str">
        <f>IF($A141="","",SUMIFS('Stock OUT (Issue)'!$G$3:$G$302,'Stock OUT (Issue)'!$D$3:$D$302,$A141,'Stock OUT (Issue)'!$C$3:$C$302,"JOB-04"))</f>
        <v/>
      </c>
      <c r="H141" s="19" t="str">
        <f>IF($A141="","",SUMIFS('Stock OUT (Issue)'!$G$3:$G$302,'Stock OUT (Issue)'!$D$3:$D$302,$A141,'Stock OUT (Issue)'!$C$3:$C$302,"JOB-05"))</f>
        <v/>
      </c>
      <c r="I141" s="19" t="str">
        <f t="shared" si="1"/>
        <v/>
      </c>
    </row>
    <row r="142" ht="15.75" customHeight="1">
      <c r="A142" s="14" t="str">
        <f>IF('Item Master'!B142="","",'Item Master'!B142)</f>
        <v/>
      </c>
      <c r="B142" s="14" t="str">
        <f>IF($A142="","",'Item Master'!C142)</f>
        <v/>
      </c>
      <c r="C142" s="14" t="str">
        <f>IF($A142="","",'Item Master'!G142)</f>
        <v/>
      </c>
      <c r="D142" s="19" t="str">
        <f>IF($A142="","",SUMIFS('Stock OUT (Issue)'!$G$3:$G$302,'Stock OUT (Issue)'!$D$3:$D$302,$A142,'Stock OUT (Issue)'!$C$3:$C$302,"JOB-01"))</f>
        <v/>
      </c>
      <c r="E142" s="19" t="str">
        <f>IF($A142="","",SUMIFS('Stock OUT (Issue)'!$G$3:$G$302,'Stock OUT (Issue)'!$D$3:$D$302,$A142,'Stock OUT (Issue)'!$C$3:$C$302,"JOB-02"))</f>
        <v/>
      </c>
      <c r="F142" s="19" t="str">
        <f>IF($A142="","",SUMIFS('Stock OUT (Issue)'!$G$3:$G$302,'Stock OUT (Issue)'!$D$3:$D$302,$A142,'Stock OUT (Issue)'!$C$3:$C$302,"JOB-03"))</f>
        <v/>
      </c>
      <c r="G142" s="19" t="str">
        <f>IF($A142="","",SUMIFS('Stock OUT (Issue)'!$G$3:$G$302,'Stock OUT (Issue)'!$D$3:$D$302,$A142,'Stock OUT (Issue)'!$C$3:$C$302,"JOB-04"))</f>
        <v/>
      </c>
      <c r="H142" s="19" t="str">
        <f>IF($A142="","",SUMIFS('Stock OUT (Issue)'!$G$3:$G$302,'Stock OUT (Issue)'!$D$3:$D$302,$A142,'Stock OUT (Issue)'!$C$3:$C$302,"JOB-05"))</f>
        <v/>
      </c>
      <c r="I142" s="19" t="str">
        <f t="shared" si="1"/>
        <v/>
      </c>
    </row>
    <row r="143" ht="15.75" customHeight="1">
      <c r="A143" s="14" t="str">
        <f>IF('Item Master'!B143="","",'Item Master'!B143)</f>
        <v/>
      </c>
      <c r="B143" s="14" t="str">
        <f>IF($A143="","",'Item Master'!C143)</f>
        <v/>
      </c>
      <c r="C143" s="14" t="str">
        <f>IF($A143="","",'Item Master'!G143)</f>
        <v/>
      </c>
      <c r="D143" s="19" t="str">
        <f>IF($A143="","",SUMIFS('Stock OUT (Issue)'!$G$3:$G$302,'Stock OUT (Issue)'!$D$3:$D$302,$A143,'Stock OUT (Issue)'!$C$3:$C$302,"JOB-01"))</f>
        <v/>
      </c>
      <c r="E143" s="19" t="str">
        <f>IF($A143="","",SUMIFS('Stock OUT (Issue)'!$G$3:$G$302,'Stock OUT (Issue)'!$D$3:$D$302,$A143,'Stock OUT (Issue)'!$C$3:$C$302,"JOB-02"))</f>
        <v/>
      </c>
      <c r="F143" s="19" t="str">
        <f>IF($A143="","",SUMIFS('Stock OUT (Issue)'!$G$3:$G$302,'Stock OUT (Issue)'!$D$3:$D$302,$A143,'Stock OUT (Issue)'!$C$3:$C$302,"JOB-03"))</f>
        <v/>
      </c>
      <c r="G143" s="19" t="str">
        <f>IF($A143="","",SUMIFS('Stock OUT (Issue)'!$G$3:$G$302,'Stock OUT (Issue)'!$D$3:$D$302,$A143,'Stock OUT (Issue)'!$C$3:$C$302,"JOB-04"))</f>
        <v/>
      </c>
      <c r="H143" s="19" t="str">
        <f>IF($A143="","",SUMIFS('Stock OUT (Issue)'!$G$3:$G$302,'Stock OUT (Issue)'!$D$3:$D$302,$A143,'Stock OUT (Issue)'!$C$3:$C$302,"JOB-05"))</f>
        <v/>
      </c>
      <c r="I143" s="19" t="str">
        <f t="shared" si="1"/>
        <v/>
      </c>
    </row>
    <row r="144" ht="15.75" customHeight="1">
      <c r="A144" s="14" t="str">
        <f>IF('Item Master'!B144="","",'Item Master'!B144)</f>
        <v/>
      </c>
      <c r="B144" s="14" t="str">
        <f>IF($A144="","",'Item Master'!C144)</f>
        <v/>
      </c>
      <c r="C144" s="14" t="str">
        <f>IF($A144="","",'Item Master'!G144)</f>
        <v/>
      </c>
      <c r="D144" s="19" t="str">
        <f>IF($A144="","",SUMIFS('Stock OUT (Issue)'!$G$3:$G$302,'Stock OUT (Issue)'!$D$3:$D$302,$A144,'Stock OUT (Issue)'!$C$3:$C$302,"JOB-01"))</f>
        <v/>
      </c>
      <c r="E144" s="19" t="str">
        <f>IF($A144="","",SUMIFS('Stock OUT (Issue)'!$G$3:$G$302,'Stock OUT (Issue)'!$D$3:$D$302,$A144,'Stock OUT (Issue)'!$C$3:$C$302,"JOB-02"))</f>
        <v/>
      </c>
      <c r="F144" s="19" t="str">
        <f>IF($A144="","",SUMIFS('Stock OUT (Issue)'!$G$3:$G$302,'Stock OUT (Issue)'!$D$3:$D$302,$A144,'Stock OUT (Issue)'!$C$3:$C$302,"JOB-03"))</f>
        <v/>
      </c>
      <c r="G144" s="19" t="str">
        <f>IF($A144="","",SUMIFS('Stock OUT (Issue)'!$G$3:$G$302,'Stock OUT (Issue)'!$D$3:$D$302,$A144,'Stock OUT (Issue)'!$C$3:$C$302,"JOB-04"))</f>
        <v/>
      </c>
      <c r="H144" s="19" t="str">
        <f>IF($A144="","",SUMIFS('Stock OUT (Issue)'!$G$3:$G$302,'Stock OUT (Issue)'!$D$3:$D$302,$A144,'Stock OUT (Issue)'!$C$3:$C$302,"JOB-05"))</f>
        <v/>
      </c>
      <c r="I144" s="19" t="str">
        <f t="shared" si="1"/>
        <v/>
      </c>
    </row>
    <row r="145" ht="15.75" customHeight="1">
      <c r="A145" s="14" t="str">
        <f>IF('Item Master'!B145="","",'Item Master'!B145)</f>
        <v/>
      </c>
      <c r="B145" s="14" t="str">
        <f>IF($A145="","",'Item Master'!C145)</f>
        <v/>
      </c>
      <c r="C145" s="14" t="str">
        <f>IF($A145="","",'Item Master'!G145)</f>
        <v/>
      </c>
      <c r="D145" s="19" t="str">
        <f>IF($A145="","",SUMIFS('Stock OUT (Issue)'!$G$3:$G$302,'Stock OUT (Issue)'!$D$3:$D$302,$A145,'Stock OUT (Issue)'!$C$3:$C$302,"JOB-01"))</f>
        <v/>
      </c>
      <c r="E145" s="19" t="str">
        <f>IF($A145="","",SUMIFS('Stock OUT (Issue)'!$G$3:$G$302,'Stock OUT (Issue)'!$D$3:$D$302,$A145,'Stock OUT (Issue)'!$C$3:$C$302,"JOB-02"))</f>
        <v/>
      </c>
      <c r="F145" s="19" t="str">
        <f>IF($A145="","",SUMIFS('Stock OUT (Issue)'!$G$3:$G$302,'Stock OUT (Issue)'!$D$3:$D$302,$A145,'Stock OUT (Issue)'!$C$3:$C$302,"JOB-03"))</f>
        <v/>
      </c>
      <c r="G145" s="19" t="str">
        <f>IF($A145="","",SUMIFS('Stock OUT (Issue)'!$G$3:$G$302,'Stock OUT (Issue)'!$D$3:$D$302,$A145,'Stock OUT (Issue)'!$C$3:$C$302,"JOB-04"))</f>
        <v/>
      </c>
      <c r="H145" s="19" t="str">
        <f>IF($A145="","",SUMIFS('Stock OUT (Issue)'!$G$3:$G$302,'Stock OUT (Issue)'!$D$3:$D$302,$A145,'Stock OUT (Issue)'!$C$3:$C$302,"JOB-05"))</f>
        <v/>
      </c>
      <c r="I145" s="19" t="str">
        <f t="shared" si="1"/>
        <v/>
      </c>
    </row>
    <row r="146" ht="15.75" customHeight="1">
      <c r="A146" s="14" t="str">
        <f>IF('Item Master'!B146="","",'Item Master'!B146)</f>
        <v/>
      </c>
      <c r="B146" s="14" t="str">
        <f>IF($A146="","",'Item Master'!C146)</f>
        <v/>
      </c>
      <c r="C146" s="14" t="str">
        <f>IF($A146="","",'Item Master'!G146)</f>
        <v/>
      </c>
      <c r="D146" s="19" t="str">
        <f>IF($A146="","",SUMIFS('Stock OUT (Issue)'!$G$3:$G$302,'Stock OUT (Issue)'!$D$3:$D$302,$A146,'Stock OUT (Issue)'!$C$3:$C$302,"JOB-01"))</f>
        <v/>
      </c>
      <c r="E146" s="19" t="str">
        <f>IF($A146="","",SUMIFS('Stock OUT (Issue)'!$G$3:$G$302,'Stock OUT (Issue)'!$D$3:$D$302,$A146,'Stock OUT (Issue)'!$C$3:$C$302,"JOB-02"))</f>
        <v/>
      </c>
      <c r="F146" s="19" t="str">
        <f>IF($A146="","",SUMIFS('Stock OUT (Issue)'!$G$3:$G$302,'Stock OUT (Issue)'!$D$3:$D$302,$A146,'Stock OUT (Issue)'!$C$3:$C$302,"JOB-03"))</f>
        <v/>
      </c>
      <c r="G146" s="19" t="str">
        <f>IF($A146="","",SUMIFS('Stock OUT (Issue)'!$G$3:$G$302,'Stock OUT (Issue)'!$D$3:$D$302,$A146,'Stock OUT (Issue)'!$C$3:$C$302,"JOB-04"))</f>
        <v/>
      </c>
      <c r="H146" s="19" t="str">
        <f>IF($A146="","",SUMIFS('Stock OUT (Issue)'!$G$3:$G$302,'Stock OUT (Issue)'!$D$3:$D$302,$A146,'Stock OUT (Issue)'!$C$3:$C$302,"JOB-05"))</f>
        <v/>
      </c>
      <c r="I146" s="19" t="str">
        <f t="shared" si="1"/>
        <v/>
      </c>
    </row>
    <row r="147" ht="15.75" customHeight="1">
      <c r="A147" s="14" t="str">
        <f>IF('Item Master'!B147="","",'Item Master'!B147)</f>
        <v/>
      </c>
      <c r="B147" s="14" t="str">
        <f>IF($A147="","",'Item Master'!C147)</f>
        <v/>
      </c>
      <c r="C147" s="14" t="str">
        <f>IF($A147="","",'Item Master'!G147)</f>
        <v/>
      </c>
      <c r="D147" s="19" t="str">
        <f>IF($A147="","",SUMIFS('Stock OUT (Issue)'!$G$3:$G$302,'Stock OUT (Issue)'!$D$3:$D$302,$A147,'Stock OUT (Issue)'!$C$3:$C$302,"JOB-01"))</f>
        <v/>
      </c>
      <c r="E147" s="19" t="str">
        <f>IF($A147="","",SUMIFS('Stock OUT (Issue)'!$G$3:$G$302,'Stock OUT (Issue)'!$D$3:$D$302,$A147,'Stock OUT (Issue)'!$C$3:$C$302,"JOB-02"))</f>
        <v/>
      </c>
      <c r="F147" s="19" t="str">
        <f>IF($A147="","",SUMIFS('Stock OUT (Issue)'!$G$3:$G$302,'Stock OUT (Issue)'!$D$3:$D$302,$A147,'Stock OUT (Issue)'!$C$3:$C$302,"JOB-03"))</f>
        <v/>
      </c>
      <c r="G147" s="19" t="str">
        <f>IF($A147="","",SUMIFS('Stock OUT (Issue)'!$G$3:$G$302,'Stock OUT (Issue)'!$D$3:$D$302,$A147,'Stock OUT (Issue)'!$C$3:$C$302,"JOB-04"))</f>
        <v/>
      </c>
      <c r="H147" s="19" t="str">
        <f>IF($A147="","",SUMIFS('Stock OUT (Issue)'!$G$3:$G$302,'Stock OUT (Issue)'!$D$3:$D$302,$A147,'Stock OUT (Issue)'!$C$3:$C$302,"JOB-05"))</f>
        <v/>
      </c>
      <c r="I147" s="19" t="str">
        <f t="shared" si="1"/>
        <v/>
      </c>
    </row>
    <row r="148" ht="15.75" customHeight="1">
      <c r="A148" s="14" t="str">
        <f>IF('Item Master'!B148="","",'Item Master'!B148)</f>
        <v/>
      </c>
      <c r="B148" s="14" t="str">
        <f>IF($A148="","",'Item Master'!C148)</f>
        <v/>
      </c>
      <c r="C148" s="14" t="str">
        <f>IF($A148="","",'Item Master'!G148)</f>
        <v/>
      </c>
      <c r="D148" s="19" t="str">
        <f>IF($A148="","",SUMIFS('Stock OUT (Issue)'!$G$3:$G$302,'Stock OUT (Issue)'!$D$3:$D$302,$A148,'Stock OUT (Issue)'!$C$3:$C$302,"JOB-01"))</f>
        <v/>
      </c>
      <c r="E148" s="19" t="str">
        <f>IF($A148="","",SUMIFS('Stock OUT (Issue)'!$G$3:$G$302,'Stock OUT (Issue)'!$D$3:$D$302,$A148,'Stock OUT (Issue)'!$C$3:$C$302,"JOB-02"))</f>
        <v/>
      </c>
      <c r="F148" s="19" t="str">
        <f>IF($A148="","",SUMIFS('Stock OUT (Issue)'!$G$3:$G$302,'Stock OUT (Issue)'!$D$3:$D$302,$A148,'Stock OUT (Issue)'!$C$3:$C$302,"JOB-03"))</f>
        <v/>
      </c>
      <c r="G148" s="19" t="str">
        <f>IF($A148="","",SUMIFS('Stock OUT (Issue)'!$G$3:$G$302,'Stock OUT (Issue)'!$D$3:$D$302,$A148,'Stock OUT (Issue)'!$C$3:$C$302,"JOB-04"))</f>
        <v/>
      </c>
      <c r="H148" s="19" t="str">
        <f>IF($A148="","",SUMIFS('Stock OUT (Issue)'!$G$3:$G$302,'Stock OUT (Issue)'!$D$3:$D$302,$A148,'Stock OUT (Issue)'!$C$3:$C$302,"JOB-05"))</f>
        <v/>
      </c>
      <c r="I148" s="19" t="str">
        <f t="shared" si="1"/>
        <v/>
      </c>
    </row>
    <row r="149" ht="15.75" customHeight="1">
      <c r="A149" s="14" t="str">
        <f>IF('Item Master'!B149="","",'Item Master'!B149)</f>
        <v/>
      </c>
      <c r="B149" s="14" t="str">
        <f>IF($A149="","",'Item Master'!C149)</f>
        <v/>
      </c>
      <c r="C149" s="14" t="str">
        <f>IF($A149="","",'Item Master'!G149)</f>
        <v/>
      </c>
      <c r="D149" s="19" t="str">
        <f>IF($A149="","",SUMIFS('Stock OUT (Issue)'!$G$3:$G$302,'Stock OUT (Issue)'!$D$3:$D$302,$A149,'Stock OUT (Issue)'!$C$3:$C$302,"JOB-01"))</f>
        <v/>
      </c>
      <c r="E149" s="19" t="str">
        <f>IF($A149="","",SUMIFS('Stock OUT (Issue)'!$G$3:$G$302,'Stock OUT (Issue)'!$D$3:$D$302,$A149,'Stock OUT (Issue)'!$C$3:$C$302,"JOB-02"))</f>
        <v/>
      </c>
      <c r="F149" s="19" t="str">
        <f>IF($A149="","",SUMIFS('Stock OUT (Issue)'!$G$3:$G$302,'Stock OUT (Issue)'!$D$3:$D$302,$A149,'Stock OUT (Issue)'!$C$3:$C$302,"JOB-03"))</f>
        <v/>
      </c>
      <c r="G149" s="19" t="str">
        <f>IF($A149="","",SUMIFS('Stock OUT (Issue)'!$G$3:$G$302,'Stock OUT (Issue)'!$D$3:$D$302,$A149,'Stock OUT (Issue)'!$C$3:$C$302,"JOB-04"))</f>
        <v/>
      </c>
      <c r="H149" s="19" t="str">
        <f>IF($A149="","",SUMIFS('Stock OUT (Issue)'!$G$3:$G$302,'Stock OUT (Issue)'!$D$3:$D$302,$A149,'Stock OUT (Issue)'!$C$3:$C$302,"JOB-05"))</f>
        <v/>
      </c>
      <c r="I149" s="19" t="str">
        <f t="shared" si="1"/>
        <v/>
      </c>
    </row>
    <row r="150" ht="15.75" customHeight="1">
      <c r="A150" s="14" t="str">
        <f>IF('Item Master'!B150="","",'Item Master'!B150)</f>
        <v/>
      </c>
      <c r="B150" s="14" t="str">
        <f>IF($A150="","",'Item Master'!C150)</f>
        <v/>
      </c>
      <c r="C150" s="14" t="str">
        <f>IF($A150="","",'Item Master'!G150)</f>
        <v/>
      </c>
      <c r="D150" s="19" t="str">
        <f>IF($A150="","",SUMIFS('Stock OUT (Issue)'!$G$3:$G$302,'Stock OUT (Issue)'!$D$3:$D$302,$A150,'Stock OUT (Issue)'!$C$3:$C$302,"JOB-01"))</f>
        <v/>
      </c>
      <c r="E150" s="19" t="str">
        <f>IF($A150="","",SUMIFS('Stock OUT (Issue)'!$G$3:$G$302,'Stock OUT (Issue)'!$D$3:$D$302,$A150,'Stock OUT (Issue)'!$C$3:$C$302,"JOB-02"))</f>
        <v/>
      </c>
      <c r="F150" s="19" t="str">
        <f>IF($A150="","",SUMIFS('Stock OUT (Issue)'!$G$3:$G$302,'Stock OUT (Issue)'!$D$3:$D$302,$A150,'Stock OUT (Issue)'!$C$3:$C$302,"JOB-03"))</f>
        <v/>
      </c>
      <c r="G150" s="19" t="str">
        <f>IF($A150="","",SUMIFS('Stock OUT (Issue)'!$G$3:$G$302,'Stock OUT (Issue)'!$D$3:$D$302,$A150,'Stock OUT (Issue)'!$C$3:$C$302,"JOB-04"))</f>
        <v/>
      </c>
      <c r="H150" s="19" t="str">
        <f>IF($A150="","",SUMIFS('Stock OUT (Issue)'!$G$3:$G$302,'Stock OUT (Issue)'!$D$3:$D$302,$A150,'Stock OUT (Issue)'!$C$3:$C$302,"JOB-05"))</f>
        <v/>
      </c>
      <c r="I150" s="19" t="str">
        <f t="shared" si="1"/>
        <v/>
      </c>
    </row>
    <row r="151" ht="15.75" customHeight="1">
      <c r="A151" s="14" t="str">
        <f>IF('Item Master'!B151="","",'Item Master'!B151)</f>
        <v/>
      </c>
      <c r="B151" s="14" t="str">
        <f>IF($A151="","",'Item Master'!C151)</f>
        <v/>
      </c>
      <c r="C151" s="14" t="str">
        <f>IF($A151="","",'Item Master'!G151)</f>
        <v/>
      </c>
      <c r="D151" s="19" t="str">
        <f>IF($A151="","",SUMIFS('Stock OUT (Issue)'!$G$3:$G$302,'Stock OUT (Issue)'!$D$3:$D$302,$A151,'Stock OUT (Issue)'!$C$3:$C$302,"JOB-01"))</f>
        <v/>
      </c>
      <c r="E151" s="19" t="str">
        <f>IF($A151="","",SUMIFS('Stock OUT (Issue)'!$G$3:$G$302,'Stock OUT (Issue)'!$D$3:$D$302,$A151,'Stock OUT (Issue)'!$C$3:$C$302,"JOB-02"))</f>
        <v/>
      </c>
      <c r="F151" s="19" t="str">
        <f>IF($A151="","",SUMIFS('Stock OUT (Issue)'!$G$3:$G$302,'Stock OUT (Issue)'!$D$3:$D$302,$A151,'Stock OUT (Issue)'!$C$3:$C$302,"JOB-03"))</f>
        <v/>
      </c>
      <c r="G151" s="19" t="str">
        <f>IF($A151="","",SUMIFS('Stock OUT (Issue)'!$G$3:$G$302,'Stock OUT (Issue)'!$D$3:$D$302,$A151,'Stock OUT (Issue)'!$C$3:$C$302,"JOB-04"))</f>
        <v/>
      </c>
      <c r="H151" s="19" t="str">
        <f>IF($A151="","",SUMIFS('Stock OUT (Issue)'!$G$3:$G$302,'Stock OUT (Issue)'!$D$3:$D$302,$A151,'Stock OUT (Issue)'!$C$3:$C$302,"JOB-05"))</f>
        <v/>
      </c>
      <c r="I151" s="19" t="str">
        <f t="shared" si="1"/>
        <v/>
      </c>
    </row>
    <row r="152" ht="15.75" customHeight="1">
      <c r="A152" s="14" t="str">
        <f>IF('Item Master'!B152="","",'Item Master'!B152)</f>
        <v/>
      </c>
      <c r="B152" s="14" t="str">
        <f>IF($A152="","",'Item Master'!C152)</f>
        <v/>
      </c>
      <c r="C152" s="14" t="str">
        <f>IF($A152="","",'Item Master'!G152)</f>
        <v/>
      </c>
      <c r="D152" s="19" t="str">
        <f>IF($A152="","",SUMIFS('Stock OUT (Issue)'!$G$3:$G$302,'Stock OUT (Issue)'!$D$3:$D$302,$A152,'Stock OUT (Issue)'!$C$3:$C$302,"JOB-01"))</f>
        <v/>
      </c>
      <c r="E152" s="19" t="str">
        <f>IF($A152="","",SUMIFS('Stock OUT (Issue)'!$G$3:$G$302,'Stock OUT (Issue)'!$D$3:$D$302,$A152,'Stock OUT (Issue)'!$C$3:$C$302,"JOB-02"))</f>
        <v/>
      </c>
      <c r="F152" s="19" t="str">
        <f>IF($A152="","",SUMIFS('Stock OUT (Issue)'!$G$3:$G$302,'Stock OUT (Issue)'!$D$3:$D$302,$A152,'Stock OUT (Issue)'!$C$3:$C$302,"JOB-03"))</f>
        <v/>
      </c>
      <c r="G152" s="19" t="str">
        <f>IF($A152="","",SUMIFS('Stock OUT (Issue)'!$G$3:$G$302,'Stock OUT (Issue)'!$D$3:$D$302,$A152,'Stock OUT (Issue)'!$C$3:$C$302,"JOB-04"))</f>
        <v/>
      </c>
      <c r="H152" s="19" t="str">
        <f>IF($A152="","",SUMIFS('Stock OUT (Issue)'!$G$3:$G$302,'Stock OUT (Issue)'!$D$3:$D$302,$A152,'Stock OUT (Issue)'!$C$3:$C$302,"JOB-05"))</f>
        <v/>
      </c>
      <c r="I152" s="19" t="str">
        <f t="shared" si="1"/>
        <v/>
      </c>
    </row>
    <row r="153" ht="15.75" customHeight="1">
      <c r="A153" s="14" t="str">
        <f>IF('Item Master'!B153="","",'Item Master'!B153)</f>
        <v/>
      </c>
      <c r="B153" s="14" t="str">
        <f>IF($A153="","",'Item Master'!C153)</f>
        <v/>
      </c>
      <c r="C153" s="14" t="str">
        <f>IF($A153="","",'Item Master'!G153)</f>
        <v/>
      </c>
      <c r="D153" s="19" t="str">
        <f>IF($A153="","",SUMIFS('Stock OUT (Issue)'!$G$3:$G$302,'Stock OUT (Issue)'!$D$3:$D$302,$A153,'Stock OUT (Issue)'!$C$3:$C$302,"JOB-01"))</f>
        <v/>
      </c>
      <c r="E153" s="19" t="str">
        <f>IF($A153="","",SUMIFS('Stock OUT (Issue)'!$G$3:$G$302,'Stock OUT (Issue)'!$D$3:$D$302,$A153,'Stock OUT (Issue)'!$C$3:$C$302,"JOB-02"))</f>
        <v/>
      </c>
      <c r="F153" s="19" t="str">
        <f>IF($A153="","",SUMIFS('Stock OUT (Issue)'!$G$3:$G$302,'Stock OUT (Issue)'!$D$3:$D$302,$A153,'Stock OUT (Issue)'!$C$3:$C$302,"JOB-03"))</f>
        <v/>
      </c>
      <c r="G153" s="19" t="str">
        <f>IF($A153="","",SUMIFS('Stock OUT (Issue)'!$G$3:$G$302,'Stock OUT (Issue)'!$D$3:$D$302,$A153,'Stock OUT (Issue)'!$C$3:$C$302,"JOB-04"))</f>
        <v/>
      </c>
      <c r="H153" s="19" t="str">
        <f>IF($A153="","",SUMIFS('Stock OUT (Issue)'!$G$3:$G$302,'Stock OUT (Issue)'!$D$3:$D$302,$A153,'Stock OUT (Issue)'!$C$3:$C$302,"JOB-05"))</f>
        <v/>
      </c>
      <c r="I153" s="19" t="str">
        <f t="shared" si="1"/>
        <v/>
      </c>
    </row>
    <row r="154" ht="15.75" customHeight="1">
      <c r="A154" s="14" t="str">
        <f>IF('Item Master'!B154="","",'Item Master'!B154)</f>
        <v/>
      </c>
      <c r="B154" s="14" t="str">
        <f>IF($A154="","",'Item Master'!C154)</f>
        <v/>
      </c>
      <c r="C154" s="14" t="str">
        <f>IF($A154="","",'Item Master'!G154)</f>
        <v/>
      </c>
      <c r="D154" s="19" t="str">
        <f>IF($A154="","",SUMIFS('Stock OUT (Issue)'!$G$3:$G$302,'Stock OUT (Issue)'!$D$3:$D$302,$A154,'Stock OUT (Issue)'!$C$3:$C$302,"JOB-01"))</f>
        <v/>
      </c>
      <c r="E154" s="19" t="str">
        <f>IF($A154="","",SUMIFS('Stock OUT (Issue)'!$G$3:$G$302,'Stock OUT (Issue)'!$D$3:$D$302,$A154,'Stock OUT (Issue)'!$C$3:$C$302,"JOB-02"))</f>
        <v/>
      </c>
      <c r="F154" s="19" t="str">
        <f>IF($A154="","",SUMIFS('Stock OUT (Issue)'!$G$3:$G$302,'Stock OUT (Issue)'!$D$3:$D$302,$A154,'Stock OUT (Issue)'!$C$3:$C$302,"JOB-03"))</f>
        <v/>
      </c>
      <c r="G154" s="19" t="str">
        <f>IF($A154="","",SUMIFS('Stock OUT (Issue)'!$G$3:$G$302,'Stock OUT (Issue)'!$D$3:$D$302,$A154,'Stock OUT (Issue)'!$C$3:$C$302,"JOB-04"))</f>
        <v/>
      </c>
      <c r="H154" s="19" t="str">
        <f>IF($A154="","",SUMIFS('Stock OUT (Issue)'!$G$3:$G$302,'Stock OUT (Issue)'!$D$3:$D$302,$A154,'Stock OUT (Issue)'!$C$3:$C$302,"JOB-05"))</f>
        <v/>
      </c>
      <c r="I154" s="19" t="str">
        <f t="shared" si="1"/>
        <v/>
      </c>
    </row>
    <row r="155" ht="15.75" customHeight="1">
      <c r="A155" s="14" t="str">
        <f>IF('Item Master'!B155="","",'Item Master'!B155)</f>
        <v/>
      </c>
      <c r="B155" s="14" t="str">
        <f>IF($A155="","",'Item Master'!C155)</f>
        <v/>
      </c>
      <c r="C155" s="14" t="str">
        <f>IF($A155="","",'Item Master'!G155)</f>
        <v/>
      </c>
      <c r="D155" s="19" t="str">
        <f>IF($A155="","",SUMIFS('Stock OUT (Issue)'!$G$3:$G$302,'Stock OUT (Issue)'!$D$3:$D$302,$A155,'Stock OUT (Issue)'!$C$3:$C$302,"JOB-01"))</f>
        <v/>
      </c>
      <c r="E155" s="19" t="str">
        <f>IF($A155="","",SUMIFS('Stock OUT (Issue)'!$G$3:$G$302,'Stock OUT (Issue)'!$D$3:$D$302,$A155,'Stock OUT (Issue)'!$C$3:$C$302,"JOB-02"))</f>
        <v/>
      </c>
      <c r="F155" s="19" t="str">
        <f>IF($A155="","",SUMIFS('Stock OUT (Issue)'!$G$3:$G$302,'Stock OUT (Issue)'!$D$3:$D$302,$A155,'Stock OUT (Issue)'!$C$3:$C$302,"JOB-03"))</f>
        <v/>
      </c>
      <c r="G155" s="19" t="str">
        <f>IF($A155="","",SUMIFS('Stock OUT (Issue)'!$G$3:$G$302,'Stock OUT (Issue)'!$D$3:$D$302,$A155,'Stock OUT (Issue)'!$C$3:$C$302,"JOB-04"))</f>
        <v/>
      </c>
      <c r="H155" s="19" t="str">
        <f>IF($A155="","",SUMIFS('Stock OUT (Issue)'!$G$3:$G$302,'Stock OUT (Issue)'!$D$3:$D$302,$A155,'Stock OUT (Issue)'!$C$3:$C$302,"JOB-05"))</f>
        <v/>
      </c>
      <c r="I155" s="19" t="str">
        <f t="shared" si="1"/>
        <v/>
      </c>
    </row>
    <row r="156" ht="15.75" customHeight="1">
      <c r="A156" s="14" t="str">
        <f>IF('Item Master'!B156="","",'Item Master'!B156)</f>
        <v/>
      </c>
      <c r="B156" s="14" t="str">
        <f>IF($A156="","",'Item Master'!C156)</f>
        <v/>
      </c>
      <c r="C156" s="14" t="str">
        <f>IF($A156="","",'Item Master'!G156)</f>
        <v/>
      </c>
      <c r="D156" s="19" t="str">
        <f>IF($A156="","",SUMIFS('Stock OUT (Issue)'!$G$3:$G$302,'Stock OUT (Issue)'!$D$3:$D$302,$A156,'Stock OUT (Issue)'!$C$3:$C$302,"JOB-01"))</f>
        <v/>
      </c>
      <c r="E156" s="19" t="str">
        <f>IF($A156="","",SUMIFS('Stock OUT (Issue)'!$G$3:$G$302,'Stock OUT (Issue)'!$D$3:$D$302,$A156,'Stock OUT (Issue)'!$C$3:$C$302,"JOB-02"))</f>
        <v/>
      </c>
      <c r="F156" s="19" t="str">
        <f>IF($A156="","",SUMIFS('Stock OUT (Issue)'!$G$3:$G$302,'Stock OUT (Issue)'!$D$3:$D$302,$A156,'Stock OUT (Issue)'!$C$3:$C$302,"JOB-03"))</f>
        <v/>
      </c>
      <c r="G156" s="19" t="str">
        <f>IF($A156="","",SUMIFS('Stock OUT (Issue)'!$G$3:$G$302,'Stock OUT (Issue)'!$D$3:$D$302,$A156,'Stock OUT (Issue)'!$C$3:$C$302,"JOB-04"))</f>
        <v/>
      </c>
      <c r="H156" s="19" t="str">
        <f>IF($A156="","",SUMIFS('Stock OUT (Issue)'!$G$3:$G$302,'Stock OUT (Issue)'!$D$3:$D$302,$A156,'Stock OUT (Issue)'!$C$3:$C$302,"JOB-05"))</f>
        <v/>
      </c>
      <c r="I156" s="19" t="str">
        <f t="shared" si="1"/>
        <v/>
      </c>
    </row>
    <row r="157" ht="15.75" customHeight="1">
      <c r="A157" s="14" t="str">
        <f>IF('Item Master'!B157="","",'Item Master'!B157)</f>
        <v/>
      </c>
      <c r="B157" s="14" t="str">
        <f>IF($A157="","",'Item Master'!C157)</f>
        <v/>
      </c>
      <c r="C157" s="14" t="str">
        <f>IF($A157="","",'Item Master'!G157)</f>
        <v/>
      </c>
      <c r="D157" s="19" t="str">
        <f>IF($A157="","",SUMIFS('Stock OUT (Issue)'!$G$3:$G$302,'Stock OUT (Issue)'!$D$3:$D$302,$A157,'Stock OUT (Issue)'!$C$3:$C$302,"JOB-01"))</f>
        <v/>
      </c>
      <c r="E157" s="19" t="str">
        <f>IF($A157="","",SUMIFS('Stock OUT (Issue)'!$G$3:$G$302,'Stock OUT (Issue)'!$D$3:$D$302,$A157,'Stock OUT (Issue)'!$C$3:$C$302,"JOB-02"))</f>
        <v/>
      </c>
      <c r="F157" s="19" t="str">
        <f>IF($A157="","",SUMIFS('Stock OUT (Issue)'!$G$3:$G$302,'Stock OUT (Issue)'!$D$3:$D$302,$A157,'Stock OUT (Issue)'!$C$3:$C$302,"JOB-03"))</f>
        <v/>
      </c>
      <c r="G157" s="19" t="str">
        <f>IF($A157="","",SUMIFS('Stock OUT (Issue)'!$G$3:$G$302,'Stock OUT (Issue)'!$D$3:$D$302,$A157,'Stock OUT (Issue)'!$C$3:$C$302,"JOB-04"))</f>
        <v/>
      </c>
      <c r="H157" s="19" t="str">
        <f>IF($A157="","",SUMIFS('Stock OUT (Issue)'!$G$3:$G$302,'Stock OUT (Issue)'!$D$3:$D$302,$A157,'Stock OUT (Issue)'!$C$3:$C$302,"JOB-05"))</f>
        <v/>
      </c>
      <c r="I157" s="19" t="str">
        <f t="shared" si="1"/>
        <v/>
      </c>
    </row>
    <row r="158" ht="15.75" customHeight="1">
      <c r="A158" s="14" t="str">
        <f>IF('Item Master'!B158="","",'Item Master'!B158)</f>
        <v/>
      </c>
      <c r="B158" s="14" t="str">
        <f>IF($A158="","",'Item Master'!C158)</f>
        <v/>
      </c>
      <c r="C158" s="14" t="str">
        <f>IF($A158="","",'Item Master'!G158)</f>
        <v/>
      </c>
      <c r="D158" s="19" t="str">
        <f>IF($A158="","",SUMIFS('Stock OUT (Issue)'!$G$3:$G$302,'Stock OUT (Issue)'!$D$3:$D$302,$A158,'Stock OUT (Issue)'!$C$3:$C$302,"JOB-01"))</f>
        <v/>
      </c>
      <c r="E158" s="19" t="str">
        <f>IF($A158="","",SUMIFS('Stock OUT (Issue)'!$G$3:$G$302,'Stock OUT (Issue)'!$D$3:$D$302,$A158,'Stock OUT (Issue)'!$C$3:$C$302,"JOB-02"))</f>
        <v/>
      </c>
      <c r="F158" s="19" t="str">
        <f>IF($A158="","",SUMIFS('Stock OUT (Issue)'!$G$3:$G$302,'Stock OUT (Issue)'!$D$3:$D$302,$A158,'Stock OUT (Issue)'!$C$3:$C$302,"JOB-03"))</f>
        <v/>
      </c>
      <c r="G158" s="19" t="str">
        <f>IF($A158="","",SUMIFS('Stock OUT (Issue)'!$G$3:$G$302,'Stock OUT (Issue)'!$D$3:$D$302,$A158,'Stock OUT (Issue)'!$C$3:$C$302,"JOB-04"))</f>
        <v/>
      </c>
      <c r="H158" s="19" t="str">
        <f>IF($A158="","",SUMIFS('Stock OUT (Issue)'!$G$3:$G$302,'Stock OUT (Issue)'!$D$3:$D$302,$A158,'Stock OUT (Issue)'!$C$3:$C$302,"JOB-05"))</f>
        <v/>
      </c>
      <c r="I158" s="19" t="str">
        <f t="shared" si="1"/>
        <v/>
      </c>
    </row>
    <row r="159" ht="15.75" customHeight="1">
      <c r="A159" s="14" t="str">
        <f>IF('Item Master'!B159="","",'Item Master'!B159)</f>
        <v/>
      </c>
      <c r="B159" s="14" t="str">
        <f>IF($A159="","",'Item Master'!C159)</f>
        <v/>
      </c>
      <c r="C159" s="14" t="str">
        <f>IF($A159="","",'Item Master'!G159)</f>
        <v/>
      </c>
      <c r="D159" s="19" t="str">
        <f>IF($A159="","",SUMIFS('Stock OUT (Issue)'!$G$3:$G$302,'Stock OUT (Issue)'!$D$3:$D$302,$A159,'Stock OUT (Issue)'!$C$3:$C$302,"JOB-01"))</f>
        <v/>
      </c>
      <c r="E159" s="19" t="str">
        <f>IF($A159="","",SUMIFS('Stock OUT (Issue)'!$G$3:$G$302,'Stock OUT (Issue)'!$D$3:$D$302,$A159,'Stock OUT (Issue)'!$C$3:$C$302,"JOB-02"))</f>
        <v/>
      </c>
      <c r="F159" s="19" t="str">
        <f>IF($A159="","",SUMIFS('Stock OUT (Issue)'!$G$3:$G$302,'Stock OUT (Issue)'!$D$3:$D$302,$A159,'Stock OUT (Issue)'!$C$3:$C$302,"JOB-03"))</f>
        <v/>
      </c>
      <c r="G159" s="19" t="str">
        <f>IF($A159="","",SUMIFS('Stock OUT (Issue)'!$G$3:$G$302,'Stock OUT (Issue)'!$D$3:$D$302,$A159,'Stock OUT (Issue)'!$C$3:$C$302,"JOB-04"))</f>
        <v/>
      </c>
      <c r="H159" s="19" t="str">
        <f>IF($A159="","",SUMIFS('Stock OUT (Issue)'!$G$3:$G$302,'Stock OUT (Issue)'!$D$3:$D$302,$A159,'Stock OUT (Issue)'!$C$3:$C$302,"JOB-05"))</f>
        <v/>
      </c>
      <c r="I159" s="19" t="str">
        <f t="shared" si="1"/>
        <v/>
      </c>
    </row>
    <row r="160" ht="15.75" customHeight="1">
      <c r="A160" s="14" t="str">
        <f>IF('Item Master'!B160="","",'Item Master'!B160)</f>
        <v/>
      </c>
      <c r="B160" s="14" t="str">
        <f>IF($A160="","",'Item Master'!C160)</f>
        <v/>
      </c>
      <c r="C160" s="14" t="str">
        <f>IF($A160="","",'Item Master'!G160)</f>
        <v/>
      </c>
      <c r="D160" s="19" t="str">
        <f>IF($A160="","",SUMIFS('Stock OUT (Issue)'!$G$3:$G$302,'Stock OUT (Issue)'!$D$3:$D$302,$A160,'Stock OUT (Issue)'!$C$3:$C$302,"JOB-01"))</f>
        <v/>
      </c>
      <c r="E160" s="19" t="str">
        <f>IF($A160="","",SUMIFS('Stock OUT (Issue)'!$G$3:$G$302,'Stock OUT (Issue)'!$D$3:$D$302,$A160,'Stock OUT (Issue)'!$C$3:$C$302,"JOB-02"))</f>
        <v/>
      </c>
      <c r="F160" s="19" t="str">
        <f>IF($A160="","",SUMIFS('Stock OUT (Issue)'!$G$3:$G$302,'Stock OUT (Issue)'!$D$3:$D$302,$A160,'Stock OUT (Issue)'!$C$3:$C$302,"JOB-03"))</f>
        <v/>
      </c>
      <c r="G160" s="19" t="str">
        <f>IF($A160="","",SUMIFS('Stock OUT (Issue)'!$G$3:$G$302,'Stock OUT (Issue)'!$D$3:$D$302,$A160,'Stock OUT (Issue)'!$C$3:$C$302,"JOB-04"))</f>
        <v/>
      </c>
      <c r="H160" s="19" t="str">
        <f>IF($A160="","",SUMIFS('Stock OUT (Issue)'!$G$3:$G$302,'Stock OUT (Issue)'!$D$3:$D$302,$A160,'Stock OUT (Issue)'!$C$3:$C$302,"JOB-05"))</f>
        <v/>
      </c>
      <c r="I160" s="19" t="str">
        <f t="shared" si="1"/>
        <v/>
      </c>
    </row>
    <row r="161" ht="15.75" customHeight="1">
      <c r="A161" s="14" t="str">
        <f>IF('Item Master'!B161="","",'Item Master'!B161)</f>
        <v/>
      </c>
      <c r="B161" s="14" t="str">
        <f>IF($A161="","",'Item Master'!C161)</f>
        <v/>
      </c>
      <c r="C161" s="14" t="str">
        <f>IF($A161="","",'Item Master'!G161)</f>
        <v/>
      </c>
      <c r="D161" s="19" t="str">
        <f>IF($A161="","",SUMIFS('Stock OUT (Issue)'!$G$3:$G$302,'Stock OUT (Issue)'!$D$3:$D$302,$A161,'Stock OUT (Issue)'!$C$3:$C$302,"JOB-01"))</f>
        <v/>
      </c>
      <c r="E161" s="19" t="str">
        <f>IF($A161="","",SUMIFS('Stock OUT (Issue)'!$G$3:$G$302,'Stock OUT (Issue)'!$D$3:$D$302,$A161,'Stock OUT (Issue)'!$C$3:$C$302,"JOB-02"))</f>
        <v/>
      </c>
      <c r="F161" s="19" t="str">
        <f>IF($A161="","",SUMIFS('Stock OUT (Issue)'!$G$3:$G$302,'Stock OUT (Issue)'!$D$3:$D$302,$A161,'Stock OUT (Issue)'!$C$3:$C$302,"JOB-03"))</f>
        <v/>
      </c>
      <c r="G161" s="19" t="str">
        <f>IF($A161="","",SUMIFS('Stock OUT (Issue)'!$G$3:$G$302,'Stock OUT (Issue)'!$D$3:$D$302,$A161,'Stock OUT (Issue)'!$C$3:$C$302,"JOB-04"))</f>
        <v/>
      </c>
      <c r="H161" s="19" t="str">
        <f>IF($A161="","",SUMIFS('Stock OUT (Issue)'!$G$3:$G$302,'Stock OUT (Issue)'!$D$3:$D$302,$A161,'Stock OUT (Issue)'!$C$3:$C$302,"JOB-05"))</f>
        <v/>
      </c>
      <c r="I161" s="19" t="str">
        <f t="shared" si="1"/>
        <v/>
      </c>
    </row>
    <row r="162" ht="15.75" customHeight="1">
      <c r="A162" s="14" t="str">
        <f>IF('Item Master'!B162="","",'Item Master'!B162)</f>
        <v/>
      </c>
      <c r="B162" s="14" t="str">
        <f>IF($A162="","",'Item Master'!C162)</f>
        <v/>
      </c>
      <c r="C162" s="14" t="str">
        <f>IF($A162="","",'Item Master'!G162)</f>
        <v/>
      </c>
      <c r="D162" s="19" t="str">
        <f>IF($A162="","",SUMIFS('Stock OUT (Issue)'!$G$3:$G$302,'Stock OUT (Issue)'!$D$3:$D$302,$A162,'Stock OUT (Issue)'!$C$3:$C$302,"JOB-01"))</f>
        <v/>
      </c>
      <c r="E162" s="19" t="str">
        <f>IF($A162="","",SUMIFS('Stock OUT (Issue)'!$G$3:$G$302,'Stock OUT (Issue)'!$D$3:$D$302,$A162,'Stock OUT (Issue)'!$C$3:$C$302,"JOB-02"))</f>
        <v/>
      </c>
      <c r="F162" s="19" t="str">
        <f>IF($A162="","",SUMIFS('Stock OUT (Issue)'!$G$3:$G$302,'Stock OUT (Issue)'!$D$3:$D$302,$A162,'Stock OUT (Issue)'!$C$3:$C$302,"JOB-03"))</f>
        <v/>
      </c>
      <c r="G162" s="19" t="str">
        <f>IF($A162="","",SUMIFS('Stock OUT (Issue)'!$G$3:$G$302,'Stock OUT (Issue)'!$D$3:$D$302,$A162,'Stock OUT (Issue)'!$C$3:$C$302,"JOB-04"))</f>
        <v/>
      </c>
      <c r="H162" s="19" t="str">
        <f>IF($A162="","",SUMIFS('Stock OUT (Issue)'!$G$3:$G$302,'Stock OUT (Issue)'!$D$3:$D$302,$A162,'Stock OUT (Issue)'!$C$3:$C$302,"JOB-05"))</f>
        <v/>
      </c>
      <c r="I162" s="19" t="str">
        <f t="shared" si="1"/>
        <v/>
      </c>
    </row>
    <row r="163" ht="15.75" customHeight="1">
      <c r="A163" s="14" t="str">
        <f>IF('Item Master'!B163="","",'Item Master'!B163)</f>
        <v/>
      </c>
      <c r="B163" s="14" t="str">
        <f>IF($A163="","",'Item Master'!C163)</f>
        <v/>
      </c>
      <c r="C163" s="14" t="str">
        <f>IF($A163="","",'Item Master'!G163)</f>
        <v/>
      </c>
      <c r="D163" s="19" t="str">
        <f>IF($A163="","",SUMIFS('Stock OUT (Issue)'!$G$3:$G$302,'Stock OUT (Issue)'!$D$3:$D$302,$A163,'Stock OUT (Issue)'!$C$3:$C$302,"JOB-01"))</f>
        <v/>
      </c>
      <c r="E163" s="19" t="str">
        <f>IF($A163="","",SUMIFS('Stock OUT (Issue)'!$G$3:$G$302,'Stock OUT (Issue)'!$D$3:$D$302,$A163,'Stock OUT (Issue)'!$C$3:$C$302,"JOB-02"))</f>
        <v/>
      </c>
      <c r="F163" s="19" t="str">
        <f>IF($A163="","",SUMIFS('Stock OUT (Issue)'!$G$3:$G$302,'Stock OUT (Issue)'!$D$3:$D$302,$A163,'Stock OUT (Issue)'!$C$3:$C$302,"JOB-03"))</f>
        <v/>
      </c>
      <c r="G163" s="19" t="str">
        <f>IF($A163="","",SUMIFS('Stock OUT (Issue)'!$G$3:$G$302,'Stock OUT (Issue)'!$D$3:$D$302,$A163,'Stock OUT (Issue)'!$C$3:$C$302,"JOB-04"))</f>
        <v/>
      </c>
      <c r="H163" s="19" t="str">
        <f>IF($A163="","",SUMIFS('Stock OUT (Issue)'!$G$3:$G$302,'Stock OUT (Issue)'!$D$3:$D$302,$A163,'Stock OUT (Issue)'!$C$3:$C$302,"JOB-05"))</f>
        <v/>
      </c>
      <c r="I163" s="19" t="str">
        <f t="shared" si="1"/>
        <v/>
      </c>
    </row>
    <row r="164" ht="15.75" customHeight="1">
      <c r="A164" s="14" t="str">
        <f>IF('Item Master'!B164="","",'Item Master'!B164)</f>
        <v/>
      </c>
      <c r="B164" s="14" t="str">
        <f>IF($A164="","",'Item Master'!C164)</f>
        <v/>
      </c>
      <c r="C164" s="14" t="str">
        <f>IF($A164="","",'Item Master'!G164)</f>
        <v/>
      </c>
      <c r="D164" s="19" t="str">
        <f>IF($A164="","",SUMIFS('Stock OUT (Issue)'!$G$3:$G$302,'Stock OUT (Issue)'!$D$3:$D$302,$A164,'Stock OUT (Issue)'!$C$3:$C$302,"JOB-01"))</f>
        <v/>
      </c>
      <c r="E164" s="19" t="str">
        <f>IF($A164="","",SUMIFS('Stock OUT (Issue)'!$G$3:$G$302,'Stock OUT (Issue)'!$D$3:$D$302,$A164,'Stock OUT (Issue)'!$C$3:$C$302,"JOB-02"))</f>
        <v/>
      </c>
      <c r="F164" s="19" t="str">
        <f>IF($A164="","",SUMIFS('Stock OUT (Issue)'!$G$3:$G$302,'Stock OUT (Issue)'!$D$3:$D$302,$A164,'Stock OUT (Issue)'!$C$3:$C$302,"JOB-03"))</f>
        <v/>
      </c>
      <c r="G164" s="19" t="str">
        <f>IF($A164="","",SUMIFS('Stock OUT (Issue)'!$G$3:$G$302,'Stock OUT (Issue)'!$D$3:$D$302,$A164,'Stock OUT (Issue)'!$C$3:$C$302,"JOB-04"))</f>
        <v/>
      </c>
      <c r="H164" s="19" t="str">
        <f>IF($A164="","",SUMIFS('Stock OUT (Issue)'!$G$3:$G$302,'Stock OUT (Issue)'!$D$3:$D$302,$A164,'Stock OUT (Issue)'!$C$3:$C$302,"JOB-05"))</f>
        <v/>
      </c>
      <c r="I164" s="19" t="str">
        <f t="shared" si="1"/>
        <v/>
      </c>
    </row>
    <row r="165" ht="15.75" customHeight="1">
      <c r="A165" s="14" t="str">
        <f>IF('Item Master'!B165="","",'Item Master'!B165)</f>
        <v/>
      </c>
      <c r="B165" s="14" t="str">
        <f>IF($A165="","",'Item Master'!C165)</f>
        <v/>
      </c>
      <c r="C165" s="14" t="str">
        <f>IF($A165="","",'Item Master'!G165)</f>
        <v/>
      </c>
      <c r="D165" s="19" t="str">
        <f>IF($A165="","",SUMIFS('Stock OUT (Issue)'!$G$3:$G$302,'Stock OUT (Issue)'!$D$3:$D$302,$A165,'Stock OUT (Issue)'!$C$3:$C$302,"JOB-01"))</f>
        <v/>
      </c>
      <c r="E165" s="19" t="str">
        <f>IF($A165="","",SUMIFS('Stock OUT (Issue)'!$G$3:$G$302,'Stock OUT (Issue)'!$D$3:$D$302,$A165,'Stock OUT (Issue)'!$C$3:$C$302,"JOB-02"))</f>
        <v/>
      </c>
      <c r="F165" s="19" t="str">
        <f>IF($A165="","",SUMIFS('Stock OUT (Issue)'!$G$3:$G$302,'Stock OUT (Issue)'!$D$3:$D$302,$A165,'Stock OUT (Issue)'!$C$3:$C$302,"JOB-03"))</f>
        <v/>
      </c>
      <c r="G165" s="19" t="str">
        <f>IF($A165="","",SUMIFS('Stock OUT (Issue)'!$G$3:$G$302,'Stock OUT (Issue)'!$D$3:$D$302,$A165,'Stock OUT (Issue)'!$C$3:$C$302,"JOB-04"))</f>
        <v/>
      </c>
      <c r="H165" s="19" t="str">
        <f>IF($A165="","",SUMIFS('Stock OUT (Issue)'!$G$3:$G$302,'Stock OUT (Issue)'!$D$3:$D$302,$A165,'Stock OUT (Issue)'!$C$3:$C$302,"JOB-05"))</f>
        <v/>
      </c>
      <c r="I165" s="19" t="str">
        <f t="shared" si="1"/>
        <v/>
      </c>
    </row>
    <row r="166" ht="15.75" customHeight="1">
      <c r="A166" s="14" t="str">
        <f>IF('Item Master'!B166="","",'Item Master'!B166)</f>
        <v/>
      </c>
      <c r="B166" s="14" t="str">
        <f>IF($A166="","",'Item Master'!C166)</f>
        <v/>
      </c>
      <c r="C166" s="14" t="str">
        <f>IF($A166="","",'Item Master'!G166)</f>
        <v/>
      </c>
      <c r="D166" s="19" t="str">
        <f>IF($A166="","",SUMIFS('Stock OUT (Issue)'!$G$3:$G$302,'Stock OUT (Issue)'!$D$3:$D$302,$A166,'Stock OUT (Issue)'!$C$3:$C$302,"JOB-01"))</f>
        <v/>
      </c>
      <c r="E166" s="19" t="str">
        <f>IF($A166="","",SUMIFS('Stock OUT (Issue)'!$G$3:$G$302,'Stock OUT (Issue)'!$D$3:$D$302,$A166,'Stock OUT (Issue)'!$C$3:$C$302,"JOB-02"))</f>
        <v/>
      </c>
      <c r="F166" s="19" t="str">
        <f>IF($A166="","",SUMIFS('Stock OUT (Issue)'!$G$3:$G$302,'Stock OUT (Issue)'!$D$3:$D$302,$A166,'Stock OUT (Issue)'!$C$3:$C$302,"JOB-03"))</f>
        <v/>
      </c>
      <c r="G166" s="19" t="str">
        <f>IF($A166="","",SUMIFS('Stock OUT (Issue)'!$G$3:$G$302,'Stock OUT (Issue)'!$D$3:$D$302,$A166,'Stock OUT (Issue)'!$C$3:$C$302,"JOB-04"))</f>
        <v/>
      </c>
      <c r="H166" s="19" t="str">
        <f>IF($A166="","",SUMIFS('Stock OUT (Issue)'!$G$3:$G$302,'Stock OUT (Issue)'!$D$3:$D$302,$A166,'Stock OUT (Issue)'!$C$3:$C$302,"JOB-05"))</f>
        <v/>
      </c>
      <c r="I166" s="19" t="str">
        <f t="shared" si="1"/>
        <v/>
      </c>
    </row>
    <row r="167" ht="15.75" customHeight="1">
      <c r="A167" s="14" t="str">
        <f>IF('Item Master'!B167="","",'Item Master'!B167)</f>
        <v/>
      </c>
      <c r="B167" s="14" t="str">
        <f>IF($A167="","",'Item Master'!C167)</f>
        <v/>
      </c>
      <c r="C167" s="14" t="str">
        <f>IF($A167="","",'Item Master'!G167)</f>
        <v/>
      </c>
      <c r="D167" s="19" t="str">
        <f>IF($A167="","",SUMIFS('Stock OUT (Issue)'!$G$3:$G$302,'Stock OUT (Issue)'!$D$3:$D$302,$A167,'Stock OUT (Issue)'!$C$3:$C$302,"JOB-01"))</f>
        <v/>
      </c>
      <c r="E167" s="19" t="str">
        <f>IF($A167="","",SUMIFS('Stock OUT (Issue)'!$G$3:$G$302,'Stock OUT (Issue)'!$D$3:$D$302,$A167,'Stock OUT (Issue)'!$C$3:$C$302,"JOB-02"))</f>
        <v/>
      </c>
      <c r="F167" s="19" t="str">
        <f>IF($A167="","",SUMIFS('Stock OUT (Issue)'!$G$3:$G$302,'Stock OUT (Issue)'!$D$3:$D$302,$A167,'Stock OUT (Issue)'!$C$3:$C$302,"JOB-03"))</f>
        <v/>
      </c>
      <c r="G167" s="19" t="str">
        <f>IF($A167="","",SUMIFS('Stock OUT (Issue)'!$G$3:$G$302,'Stock OUT (Issue)'!$D$3:$D$302,$A167,'Stock OUT (Issue)'!$C$3:$C$302,"JOB-04"))</f>
        <v/>
      </c>
      <c r="H167" s="19" t="str">
        <f>IF($A167="","",SUMIFS('Stock OUT (Issue)'!$G$3:$G$302,'Stock OUT (Issue)'!$D$3:$D$302,$A167,'Stock OUT (Issue)'!$C$3:$C$302,"JOB-05"))</f>
        <v/>
      </c>
      <c r="I167" s="19" t="str">
        <f t="shared" si="1"/>
        <v/>
      </c>
    </row>
    <row r="168" ht="15.75" customHeight="1">
      <c r="A168" s="14" t="str">
        <f>IF('Item Master'!B168="","",'Item Master'!B168)</f>
        <v/>
      </c>
      <c r="B168" s="14" t="str">
        <f>IF($A168="","",'Item Master'!C168)</f>
        <v/>
      </c>
      <c r="C168" s="14" t="str">
        <f>IF($A168="","",'Item Master'!G168)</f>
        <v/>
      </c>
      <c r="D168" s="19" t="str">
        <f>IF($A168="","",SUMIFS('Stock OUT (Issue)'!$G$3:$G$302,'Stock OUT (Issue)'!$D$3:$D$302,$A168,'Stock OUT (Issue)'!$C$3:$C$302,"JOB-01"))</f>
        <v/>
      </c>
      <c r="E168" s="19" t="str">
        <f>IF($A168="","",SUMIFS('Stock OUT (Issue)'!$G$3:$G$302,'Stock OUT (Issue)'!$D$3:$D$302,$A168,'Stock OUT (Issue)'!$C$3:$C$302,"JOB-02"))</f>
        <v/>
      </c>
      <c r="F168" s="19" t="str">
        <f>IF($A168="","",SUMIFS('Stock OUT (Issue)'!$G$3:$G$302,'Stock OUT (Issue)'!$D$3:$D$302,$A168,'Stock OUT (Issue)'!$C$3:$C$302,"JOB-03"))</f>
        <v/>
      </c>
      <c r="G168" s="19" t="str">
        <f>IF($A168="","",SUMIFS('Stock OUT (Issue)'!$G$3:$G$302,'Stock OUT (Issue)'!$D$3:$D$302,$A168,'Stock OUT (Issue)'!$C$3:$C$302,"JOB-04"))</f>
        <v/>
      </c>
      <c r="H168" s="19" t="str">
        <f>IF($A168="","",SUMIFS('Stock OUT (Issue)'!$G$3:$G$302,'Stock OUT (Issue)'!$D$3:$D$302,$A168,'Stock OUT (Issue)'!$C$3:$C$302,"JOB-05"))</f>
        <v/>
      </c>
      <c r="I168" s="19" t="str">
        <f t="shared" si="1"/>
        <v/>
      </c>
    </row>
    <row r="169" ht="15.75" customHeight="1">
      <c r="A169" s="14" t="str">
        <f>IF('Item Master'!B169="","",'Item Master'!B169)</f>
        <v/>
      </c>
      <c r="B169" s="14" t="str">
        <f>IF($A169="","",'Item Master'!C169)</f>
        <v/>
      </c>
      <c r="C169" s="14" t="str">
        <f>IF($A169="","",'Item Master'!G169)</f>
        <v/>
      </c>
      <c r="D169" s="19" t="str">
        <f>IF($A169="","",SUMIFS('Stock OUT (Issue)'!$G$3:$G$302,'Stock OUT (Issue)'!$D$3:$D$302,$A169,'Stock OUT (Issue)'!$C$3:$C$302,"JOB-01"))</f>
        <v/>
      </c>
      <c r="E169" s="19" t="str">
        <f>IF($A169="","",SUMIFS('Stock OUT (Issue)'!$G$3:$G$302,'Stock OUT (Issue)'!$D$3:$D$302,$A169,'Stock OUT (Issue)'!$C$3:$C$302,"JOB-02"))</f>
        <v/>
      </c>
      <c r="F169" s="19" t="str">
        <f>IF($A169="","",SUMIFS('Stock OUT (Issue)'!$G$3:$G$302,'Stock OUT (Issue)'!$D$3:$D$302,$A169,'Stock OUT (Issue)'!$C$3:$C$302,"JOB-03"))</f>
        <v/>
      </c>
      <c r="G169" s="19" t="str">
        <f>IF($A169="","",SUMIFS('Stock OUT (Issue)'!$G$3:$G$302,'Stock OUT (Issue)'!$D$3:$D$302,$A169,'Stock OUT (Issue)'!$C$3:$C$302,"JOB-04"))</f>
        <v/>
      </c>
      <c r="H169" s="19" t="str">
        <f>IF($A169="","",SUMIFS('Stock OUT (Issue)'!$G$3:$G$302,'Stock OUT (Issue)'!$D$3:$D$302,$A169,'Stock OUT (Issue)'!$C$3:$C$302,"JOB-05"))</f>
        <v/>
      </c>
      <c r="I169" s="19" t="str">
        <f t="shared" si="1"/>
        <v/>
      </c>
    </row>
    <row r="170" ht="15.75" customHeight="1">
      <c r="A170" s="14" t="str">
        <f>IF('Item Master'!B170="","",'Item Master'!B170)</f>
        <v/>
      </c>
      <c r="B170" s="14" t="str">
        <f>IF($A170="","",'Item Master'!C170)</f>
        <v/>
      </c>
      <c r="C170" s="14" t="str">
        <f>IF($A170="","",'Item Master'!G170)</f>
        <v/>
      </c>
      <c r="D170" s="19" t="str">
        <f>IF($A170="","",SUMIFS('Stock OUT (Issue)'!$G$3:$G$302,'Stock OUT (Issue)'!$D$3:$D$302,$A170,'Stock OUT (Issue)'!$C$3:$C$302,"JOB-01"))</f>
        <v/>
      </c>
      <c r="E170" s="19" t="str">
        <f>IF($A170="","",SUMIFS('Stock OUT (Issue)'!$G$3:$G$302,'Stock OUT (Issue)'!$D$3:$D$302,$A170,'Stock OUT (Issue)'!$C$3:$C$302,"JOB-02"))</f>
        <v/>
      </c>
      <c r="F170" s="19" t="str">
        <f>IF($A170="","",SUMIFS('Stock OUT (Issue)'!$G$3:$G$302,'Stock OUT (Issue)'!$D$3:$D$302,$A170,'Stock OUT (Issue)'!$C$3:$C$302,"JOB-03"))</f>
        <v/>
      </c>
      <c r="G170" s="19" t="str">
        <f>IF($A170="","",SUMIFS('Stock OUT (Issue)'!$G$3:$G$302,'Stock OUT (Issue)'!$D$3:$D$302,$A170,'Stock OUT (Issue)'!$C$3:$C$302,"JOB-04"))</f>
        <v/>
      </c>
      <c r="H170" s="19" t="str">
        <f>IF($A170="","",SUMIFS('Stock OUT (Issue)'!$G$3:$G$302,'Stock OUT (Issue)'!$D$3:$D$302,$A170,'Stock OUT (Issue)'!$C$3:$C$302,"JOB-05"))</f>
        <v/>
      </c>
      <c r="I170" s="19" t="str">
        <f t="shared" si="1"/>
        <v/>
      </c>
    </row>
    <row r="171" ht="15.75" customHeight="1">
      <c r="A171" s="14" t="str">
        <f>IF('Item Master'!B171="","",'Item Master'!B171)</f>
        <v/>
      </c>
      <c r="B171" s="14" t="str">
        <f>IF($A171="","",'Item Master'!C171)</f>
        <v/>
      </c>
      <c r="C171" s="14" t="str">
        <f>IF($A171="","",'Item Master'!G171)</f>
        <v/>
      </c>
      <c r="D171" s="19" t="str">
        <f>IF($A171="","",SUMIFS('Stock OUT (Issue)'!$G$3:$G$302,'Stock OUT (Issue)'!$D$3:$D$302,$A171,'Stock OUT (Issue)'!$C$3:$C$302,"JOB-01"))</f>
        <v/>
      </c>
      <c r="E171" s="19" t="str">
        <f>IF($A171="","",SUMIFS('Stock OUT (Issue)'!$G$3:$G$302,'Stock OUT (Issue)'!$D$3:$D$302,$A171,'Stock OUT (Issue)'!$C$3:$C$302,"JOB-02"))</f>
        <v/>
      </c>
      <c r="F171" s="19" t="str">
        <f>IF($A171="","",SUMIFS('Stock OUT (Issue)'!$G$3:$G$302,'Stock OUT (Issue)'!$D$3:$D$302,$A171,'Stock OUT (Issue)'!$C$3:$C$302,"JOB-03"))</f>
        <v/>
      </c>
      <c r="G171" s="19" t="str">
        <f>IF($A171="","",SUMIFS('Stock OUT (Issue)'!$G$3:$G$302,'Stock OUT (Issue)'!$D$3:$D$302,$A171,'Stock OUT (Issue)'!$C$3:$C$302,"JOB-04"))</f>
        <v/>
      </c>
      <c r="H171" s="19" t="str">
        <f>IF($A171="","",SUMIFS('Stock OUT (Issue)'!$G$3:$G$302,'Stock OUT (Issue)'!$D$3:$D$302,$A171,'Stock OUT (Issue)'!$C$3:$C$302,"JOB-05"))</f>
        <v/>
      </c>
      <c r="I171" s="19" t="str">
        <f t="shared" si="1"/>
        <v/>
      </c>
    </row>
    <row r="172" ht="15.75" customHeight="1">
      <c r="A172" s="14" t="str">
        <f>IF('Item Master'!B172="","",'Item Master'!B172)</f>
        <v/>
      </c>
      <c r="B172" s="14" t="str">
        <f>IF($A172="","",'Item Master'!C172)</f>
        <v/>
      </c>
      <c r="C172" s="14" t="str">
        <f>IF($A172="","",'Item Master'!G172)</f>
        <v/>
      </c>
      <c r="D172" s="19" t="str">
        <f>IF($A172="","",SUMIFS('Stock OUT (Issue)'!$G$3:$G$302,'Stock OUT (Issue)'!$D$3:$D$302,$A172,'Stock OUT (Issue)'!$C$3:$C$302,"JOB-01"))</f>
        <v/>
      </c>
      <c r="E172" s="19" t="str">
        <f>IF($A172="","",SUMIFS('Stock OUT (Issue)'!$G$3:$G$302,'Stock OUT (Issue)'!$D$3:$D$302,$A172,'Stock OUT (Issue)'!$C$3:$C$302,"JOB-02"))</f>
        <v/>
      </c>
      <c r="F172" s="19" t="str">
        <f>IF($A172="","",SUMIFS('Stock OUT (Issue)'!$G$3:$G$302,'Stock OUT (Issue)'!$D$3:$D$302,$A172,'Stock OUT (Issue)'!$C$3:$C$302,"JOB-03"))</f>
        <v/>
      </c>
      <c r="G172" s="19" t="str">
        <f>IF($A172="","",SUMIFS('Stock OUT (Issue)'!$G$3:$G$302,'Stock OUT (Issue)'!$D$3:$D$302,$A172,'Stock OUT (Issue)'!$C$3:$C$302,"JOB-04"))</f>
        <v/>
      </c>
      <c r="H172" s="19" t="str">
        <f>IF($A172="","",SUMIFS('Stock OUT (Issue)'!$G$3:$G$302,'Stock OUT (Issue)'!$D$3:$D$302,$A172,'Stock OUT (Issue)'!$C$3:$C$302,"JOB-05"))</f>
        <v/>
      </c>
      <c r="I172" s="19" t="str">
        <f t="shared" si="1"/>
        <v/>
      </c>
    </row>
    <row r="173" ht="15.75" customHeight="1">
      <c r="A173" s="14" t="str">
        <f>IF('Item Master'!B173="","",'Item Master'!B173)</f>
        <v/>
      </c>
      <c r="B173" s="14" t="str">
        <f>IF($A173="","",'Item Master'!C173)</f>
        <v/>
      </c>
      <c r="C173" s="14" t="str">
        <f>IF($A173="","",'Item Master'!G173)</f>
        <v/>
      </c>
      <c r="D173" s="19" t="str">
        <f>IF($A173="","",SUMIFS('Stock OUT (Issue)'!$G$3:$G$302,'Stock OUT (Issue)'!$D$3:$D$302,$A173,'Stock OUT (Issue)'!$C$3:$C$302,"JOB-01"))</f>
        <v/>
      </c>
      <c r="E173" s="19" t="str">
        <f>IF($A173="","",SUMIFS('Stock OUT (Issue)'!$G$3:$G$302,'Stock OUT (Issue)'!$D$3:$D$302,$A173,'Stock OUT (Issue)'!$C$3:$C$302,"JOB-02"))</f>
        <v/>
      </c>
      <c r="F173" s="19" t="str">
        <f>IF($A173="","",SUMIFS('Stock OUT (Issue)'!$G$3:$G$302,'Stock OUT (Issue)'!$D$3:$D$302,$A173,'Stock OUT (Issue)'!$C$3:$C$302,"JOB-03"))</f>
        <v/>
      </c>
      <c r="G173" s="19" t="str">
        <f>IF($A173="","",SUMIFS('Stock OUT (Issue)'!$G$3:$G$302,'Stock OUT (Issue)'!$D$3:$D$302,$A173,'Stock OUT (Issue)'!$C$3:$C$302,"JOB-04"))</f>
        <v/>
      </c>
      <c r="H173" s="19" t="str">
        <f>IF($A173="","",SUMIFS('Stock OUT (Issue)'!$G$3:$G$302,'Stock OUT (Issue)'!$D$3:$D$302,$A173,'Stock OUT (Issue)'!$C$3:$C$302,"JOB-05"))</f>
        <v/>
      </c>
      <c r="I173" s="19" t="str">
        <f t="shared" si="1"/>
        <v/>
      </c>
    </row>
    <row r="174" ht="15.75" customHeight="1">
      <c r="A174" s="14" t="str">
        <f>IF('Item Master'!B174="","",'Item Master'!B174)</f>
        <v/>
      </c>
      <c r="B174" s="14" t="str">
        <f>IF($A174="","",'Item Master'!C174)</f>
        <v/>
      </c>
      <c r="C174" s="14" t="str">
        <f>IF($A174="","",'Item Master'!G174)</f>
        <v/>
      </c>
      <c r="D174" s="19" t="str">
        <f>IF($A174="","",SUMIFS('Stock OUT (Issue)'!$G$3:$G$302,'Stock OUT (Issue)'!$D$3:$D$302,$A174,'Stock OUT (Issue)'!$C$3:$C$302,"JOB-01"))</f>
        <v/>
      </c>
      <c r="E174" s="19" t="str">
        <f>IF($A174="","",SUMIFS('Stock OUT (Issue)'!$G$3:$G$302,'Stock OUT (Issue)'!$D$3:$D$302,$A174,'Stock OUT (Issue)'!$C$3:$C$302,"JOB-02"))</f>
        <v/>
      </c>
      <c r="F174" s="19" t="str">
        <f>IF($A174="","",SUMIFS('Stock OUT (Issue)'!$G$3:$G$302,'Stock OUT (Issue)'!$D$3:$D$302,$A174,'Stock OUT (Issue)'!$C$3:$C$302,"JOB-03"))</f>
        <v/>
      </c>
      <c r="G174" s="19" t="str">
        <f>IF($A174="","",SUMIFS('Stock OUT (Issue)'!$G$3:$G$302,'Stock OUT (Issue)'!$D$3:$D$302,$A174,'Stock OUT (Issue)'!$C$3:$C$302,"JOB-04"))</f>
        <v/>
      </c>
      <c r="H174" s="19" t="str">
        <f>IF($A174="","",SUMIFS('Stock OUT (Issue)'!$G$3:$G$302,'Stock OUT (Issue)'!$D$3:$D$302,$A174,'Stock OUT (Issue)'!$C$3:$C$302,"JOB-05"))</f>
        <v/>
      </c>
      <c r="I174" s="19" t="str">
        <f t="shared" si="1"/>
        <v/>
      </c>
    </row>
    <row r="175" ht="15.75" customHeight="1">
      <c r="A175" s="14" t="str">
        <f>IF('Item Master'!B175="","",'Item Master'!B175)</f>
        <v/>
      </c>
      <c r="B175" s="14" t="str">
        <f>IF($A175="","",'Item Master'!C175)</f>
        <v/>
      </c>
      <c r="C175" s="14" t="str">
        <f>IF($A175="","",'Item Master'!G175)</f>
        <v/>
      </c>
      <c r="D175" s="19" t="str">
        <f>IF($A175="","",SUMIFS('Stock OUT (Issue)'!$G$3:$G$302,'Stock OUT (Issue)'!$D$3:$D$302,$A175,'Stock OUT (Issue)'!$C$3:$C$302,"JOB-01"))</f>
        <v/>
      </c>
      <c r="E175" s="19" t="str">
        <f>IF($A175="","",SUMIFS('Stock OUT (Issue)'!$G$3:$G$302,'Stock OUT (Issue)'!$D$3:$D$302,$A175,'Stock OUT (Issue)'!$C$3:$C$302,"JOB-02"))</f>
        <v/>
      </c>
      <c r="F175" s="19" t="str">
        <f>IF($A175="","",SUMIFS('Stock OUT (Issue)'!$G$3:$G$302,'Stock OUT (Issue)'!$D$3:$D$302,$A175,'Stock OUT (Issue)'!$C$3:$C$302,"JOB-03"))</f>
        <v/>
      </c>
      <c r="G175" s="19" t="str">
        <f>IF($A175="","",SUMIFS('Stock OUT (Issue)'!$G$3:$G$302,'Stock OUT (Issue)'!$D$3:$D$302,$A175,'Stock OUT (Issue)'!$C$3:$C$302,"JOB-04"))</f>
        <v/>
      </c>
      <c r="H175" s="19" t="str">
        <f>IF($A175="","",SUMIFS('Stock OUT (Issue)'!$G$3:$G$302,'Stock OUT (Issue)'!$D$3:$D$302,$A175,'Stock OUT (Issue)'!$C$3:$C$302,"JOB-05"))</f>
        <v/>
      </c>
      <c r="I175" s="19" t="str">
        <f t="shared" si="1"/>
        <v/>
      </c>
    </row>
    <row r="176" ht="15.75" customHeight="1">
      <c r="A176" s="14" t="str">
        <f>IF('Item Master'!B176="","",'Item Master'!B176)</f>
        <v/>
      </c>
      <c r="B176" s="14" t="str">
        <f>IF($A176="","",'Item Master'!C176)</f>
        <v/>
      </c>
      <c r="C176" s="14" t="str">
        <f>IF($A176="","",'Item Master'!G176)</f>
        <v/>
      </c>
      <c r="D176" s="19" t="str">
        <f>IF($A176="","",SUMIFS('Stock OUT (Issue)'!$G$3:$G$302,'Stock OUT (Issue)'!$D$3:$D$302,$A176,'Stock OUT (Issue)'!$C$3:$C$302,"JOB-01"))</f>
        <v/>
      </c>
      <c r="E176" s="19" t="str">
        <f>IF($A176="","",SUMIFS('Stock OUT (Issue)'!$G$3:$G$302,'Stock OUT (Issue)'!$D$3:$D$302,$A176,'Stock OUT (Issue)'!$C$3:$C$302,"JOB-02"))</f>
        <v/>
      </c>
      <c r="F176" s="19" t="str">
        <f>IF($A176="","",SUMIFS('Stock OUT (Issue)'!$G$3:$G$302,'Stock OUT (Issue)'!$D$3:$D$302,$A176,'Stock OUT (Issue)'!$C$3:$C$302,"JOB-03"))</f>
        <v/>
      </c>
      <c r="G176" s="19" t="str">
        <f>IF($A176="","",SUMIFS('Stock OUT (Issue)'!$G$3:$G$302,'Stock OUT (Issue)'!$D$3:$D$302,$A176,'Stock OUT (Issue)'!$C$3:$C$302,"JOB-04"))</f>
        <v/>
      </c>
      <c r="H176" s="19" t="str">
        <f>IF($A176="","",SUMIFS('Stock OUT (Issue)'!$G$3:$G$302,'Stock OUT (Issue)'!$D$3:$D$302,$A176,'Stock OUT (Issue)'!$C$3:$C$302,"JOB-05"))</f>
        <v/>
      </c>
      <c r="I176" s="19" t="str">
        <f t="shared" si="1"/>
        <v/>
      </c>
    </row>
    <row r="177" ht="15.75" customHeight="1">
      <c r="A177" s="14" t="str">
        <f>IF('Item Master'!B177="","",'Item Master'!B177)</f>
        <v/>
      </c>
      <c r="B177" s="14" t="str">
        <f>IF($A177="","",'Item Master'!C177)</f>
        <v/>
      </c>
      <c r="C177" s="14" t="str">
        <f>IF($A177="","",'Item Master'!G177)</f>
        <v/>
      </c>
      <c r="D177" s="19" t="str">
        <f>IF($A177="","",SUMIFS('Stock OUT (Issue)'!$G$3:$G$302,'Stock OUT (Issue)'!$D$3:$D$302,$A177,'Stock OUT (Issue)'!$C$3:$C$302,"JOB-01"))</f>
        <v/>
      </c>
      <c r="E177" s="19" t="str">
        <f>IF($A177="","",SUMIFS('Stock OUT (Issue)'!$G$3:$G$302,'Stock OUT (Issue)'!$D$3:$D$302,$A177,'Stock OUT (Issue)'!$C$3:$C$302,"JOB-02"))</f>
        <v/>
      </c>
      <c r="F177" s="19" t="str">
        <f>IF($A177="","",SUMIFS('Stock OUT (Issue)'!$G$3:$G$302,'Stock OUT (Issue)'!$D$3:$D$302,$A177,'Stock OUT (Issue)'!$C$3:$C$302,"JOB-03"))</f>
        <v/>
      </c>
      <c r="G177" s="19" t="str">
        <f>IF($A177="","",SUMIFS('Stock OUT (Issue)'!$G$3:$G$302,'Stock OUT (Issue)'!$D$3:$D$302,$A177,'Stock OUT (Issue)'!$C$3:$C$302,"JOB-04"))</f>
        <v/>
      </c>
      <c r="H177" s="19" t="str">
        <f>IF($A177="","",SUMIFS('Stock OUT (Issue)'!$G$3:$G$302,'Stock OUT (Issue)'!$D$3:$D$302,$A177,'Stock OUT (Issue)'!$C$3:$C$302,"JOB-05"))</f>
        <v/>
      </c>
      <c r="I177" s="19" t="str">
        <f t="shared" si="1"/>
        <v/>
      </c>
    </row>
    <row r="178" ht="15.75" customHeight="1">
      <c r="A178" s="14" t="str">
        <f>IF('Item Master'!B178="","",'Item Master'!B178)</f>
        <v/>
      </c>
      <c r="B178" s="14" t="str">
        <f>IF($A178="","",'Item Master'!C178)</f>
        <v/>
      </c>
      <c r="C178" s="14" t="str">
        <f>IF($A178="","",'Item Master'!G178)</f>
        <v/>
      </c>
      <c r="D178" s="19" t="str">
        <f>IF($A178="","",SUMIFS('Stock OUT (Issue)'!$G$3:$G$302,'Stock OUT (Issue)'!$D$3:$D$302,$A178,'Stock OUT (Issue)'!$C$3:$C$302,"JOB-01"))</f>
        <v/>
      </c>
      <c r="E178" s="19" t="str">
        <f>IF($A178="","",SUMIFS('Stock OUT (Issue)'!$G$3:$G$302,'Stock OUT (Issue)'!$D$3:$D$302,$A178,'Stock OUT (Issue)'!$C$3:$C$302,"JOB-02"))</f>
        <v/>
      </c>
      <c r="F178" s="19" t="str">
        <f>IF($A178="","",SUMIFS('Stock OUT (Issue)'!$G$3:$G$302,'Stock OUT (Issue)'!$D$3:$D$302,$A178,'Stock OUT (Issue)'!$C$3:$C$302,"JOB-03"))</f>
        <v/>
      </c>
      <c r="G178" s="19" t="str">
        <f>IF($A178="","",SUMIFS('Stock OUT (Issue)'!$G$3:$G$302,'Stock OUT (Issue)'!$D$3:$D$302,$A178,'Stock OUT (Issue)'!$C$3:$C$302,"JOB-04"))</f>
        <v/>
      </c>
      <c r="H178" s="19" t="str">
        <f>IF($A178="","",SUMIFS('Stock OUT (Issue)'!$G$3:$G$302,'Stock OUT (Issue)'!$D$3:$D$302,$A178,'Stock OUT (Issue)'!$C$3:$C$302,"JOB-05"))</f>
        <v/>
      </c>
      <c r="I178" s="19" t="str">
        <f t="shared" si="1"/>
        <v/>
      </c>
    </row>
    <row r="179" ht="15.75" customHeight="1">
      <c r="A179" s="14" t="str">
        <f>IF('Item Master'!B179="","",'Item Master'!B179)</f>
        <v/>
      </c>
      <c r="B179" s="14" t="str">
        <f>IF($A179="","",'Item Master'!C179)</f>
        <v/>
      </c>
      <c r="C179" s="14" t="str">
        <f>IF($A179="","",'Item Master'!G179)</f>
        <v/>
      </c>
      <c r="D179" s="19" t="str">
        <f>IF($A179="","",SUMIFS('Stock OUT (Issue)'!$G$3:$G$302,'Stock OUT (Issue)'!$D$3:$D$302,$A179,'Stock OUT (Issue)'!$C$3:$C$302,"JOB-01"))</f>
        <v/>
      </c>
      <c r="E179" s="19" t="str">
        <f>IF($A179="","",SUMIFS('Stock OUT (Issue)'!$G$3:$G$302,'Stock OUT (Issue)'!$D$3:$D$302,$A179,'Stock OUT (Issue)'!$C$3:$C$302,"JOB-02"))</f>
        <v/>
      </c>
      <c r="F179" s="19" t="str">
        <f>IF($A179="","",SUMIFS('Stock OUT (Issue)'!$G$3:$G$302,'Stock OUT (Issue)'!$D$3:$D$302,$A179,'Stock OUT (Issue)'!$C$3:$C$302,"JOB-03"))</f>
        <v/>
      </c>
      <c r="G179" s="19" t="str">
        <f>IF($A179="","",SUMIFS('Stock OUT (Issue)'!$G$3:$G$302,'Stock OUT (Issue)'!$D$3:$D$302,$A179,'Stock OUT (Issue)'!$C$3:$C$302,"JOB-04"))</f>
        <v/>
      </c>
      <c r="H179" s="19" t="str">
        <f>IF($A179="","",SUMIFS('Stock OUT (Issue)'!$G$3:$G$302,'Stock OUT (Issue)'!$D$3:$D$302,$A179,'Stock OUT (Issue)'!$C$3:$C$302,"JOB-05"))</f>
        <v/>
      </c>
      <c r="I179" s="19" t="str">
        <f t="shared" si="1"/>
        <v/>
      </c>
    </row>
    <row r="180" ht="15.75" customHeight="1">
      <c r="A180" s="14" t="str">
        <f>IF('Item Master'!B180="","",'Item Master'!B180)</f>
        <v/>
      </c>
      <c r="B180" s="14" t="str">
        <f>IF($A180="","",'Item Master'!C180)</f>
        <v/>
      </c>
      <c r="C180" s="14" t="str">
        <f>IF($A180="","",'Item Master'!G180)</f>
        <v/>
      </c>
      <c r="D180" s="19" t="str">
        <f>IF($A180="","",SUMIFS('Stock OUT (Issue)'!$G$3:$G$302,'Stock OUT (Issue)'!$D$3:$D$302,$A180,'Stock OUT (Issue)'!$C$3:$C$302,"JOB-01"))</f>
        <v/>
      </c>
      <c r="E180" s="19" t="str">
        <f>IF($A180="","",SUMIFS('Stock OUT (Issue)'!$G$3:$G$302,'Stock OUT (Issue)'!$D$3:$D$302,$A180,'Stock OUT (Issue)'!$C$3:$C$302,"JOB-02"))</f>
        <v/>
      </c>
      <c r="F180" s="19" t="str">
        <f>IF($A180="","",SUMIFS('Stock OUT (Issue)'!$G$3:$G$302,'Stock OUT (Issue)'!$D$3:$D$302,$A180,'Stock OUT (Issue)'!$C$3:$C$302,"JOB-03"))</f>
        <v/>
      </c>
      <c r="G180" s="19" t="str">
        <f>IF($A180="","",SUMIFS('Stock OUT (Issue)'!$G$3:$G$302,'Stock OUT (Issue)'!$D$3:$D$302,$A180,'Stock OUT (Issue)'!$C$3:$C$302,"JOB-04"))</f>
        <v/>
      </c>
      <c r="H180" s="19" t="str">
        <f>IF($A180="","",SUMIFS('Stock OUT (Issue)'!$G$3:$G$302,'Stock OUT (Issue)'!$D$3:$D$302,$A180,'Stock OUT (Issue)'!$C$3:$C$302,"JOB-05"))</f>
        <v/>
      </c>
      <c r="I180" s="19" t="str">
        <f t="shared" si="1"/>
        <v/>
      </c>
    </row>
    <row r="181" ht="15.75" customHeight="1">
      <c r="A181" s="14" t="str">
        <f>IF('Item Master'!B181="","",'Item Master'!B181)</f>
        <v/>
      </c>
      <c r="B181" s="14" t="str">
        <f>IF($A181="","",'Item Master'!C181)</f>
        <v/>
      </c>
      <c r="C181" s="14" t="str">
        <f>IF($A181="","",'Item Master'!G181)</f>
        <v/>
      </c>
      <c r="D181" s="19" t="str">
        <f>IF($A181="","",SUMIFS('Stock OUT (Issue)'!$G$3:$G$302,'Stock OUT (Issue)'!$D$3:$D$302,$A181,'Stock OUT (Issue)'!$C$3:$C$302,"JOB-01"))</f>
        <v/>
      </c>
      <c r="E181" s="19" t="str">
        <f>IF($A181="","",SUMIFS('Stock OUT (Issue)'!$G$3:$G$302,'Stock OUT (Issue)'!$D$3:$D$302,$A181,'Stock OUT (Issue)'!$C$3:$C$302,"JOB-02"))</f>
        <v/>
      </c>
      <c r="F181" s="19" t="str">
        <f>IF($A181="","",SUMIFS('Stock OUT (Issue)'!$G$3:$G$302,'Stock OUT (Issue)'!$D$3:$D$302,$A181,'Stock OUT (Issue)'!$C$3:$C$302,"JOB-03"))</f>
        <v/>
      </c>
      <c r="G181" s="19" t="str">
        <f>IF($A181="","",SUMIFS('Stock OUT (Issue)'!$G$3:$G$302,'Stock OUT (Issue)'!$D$3:$D$302,$A181,'Stock OUT (Issue)'!$C$3:$C$302,"JOB-04"))</f>
        <v/>
      </c>
      <c r="H181" s="19" t="str">
        <f>IF($A181="","",SUMIFS('Stock OUT (Issue)'!$G$3:$G$302,'Stock OUT (Issue)'!$D$3:$D$302,$A181,'Stock OUT (Issue)'!$C$3:$C$302,"JOB-05"))</f>
        <v/>
      </c>
      <c r="I181" s="19" t="str">
        <f t="shared" si="1"/>
        <v/>
      </c>
    </row>
    <row r="182" ht="15.75" customHeight="1">
      <c r="A182" s="14" t="str">
        <f>IF('Item Master'!B182="","",'Item Master'!B182)</f>
        <v/>
      </c>
      <c r="B182" s="14" t="str">
        <f>IF($A182="","",'Item Master'!C182)</f>
        <v/>
      </c>
      <c r="C182" s="14" t="str">
        <f>IF($A182="","",'Item Master'!G182)</f>
        <v/>
      </c>
      <c r="D182" s="19" t="str">
        <f>IF($A182="","",SUMIFS('Stock OUT (Issue)'!$G$3:$G$302,'Stock OUT (Issue)'!$D$3:$D$302,$A182,'Stock OUT (Issue)'!$C$3:$C$302,"JOB-01"))</f>
        <v/>
      </c>
      <c r="E182" s="19" t="str">
        <f>IF($A182="","",SUMIFS('Stock OUT (Issue)'!$G$3:$G$302,'Stock OUT (Issue)'!$D$3:$D$302,$A182,'Stock OUT (Issue)'!$C$3:$C$302,"JOB-02"))</f>
        <v/>
      </c>
      <c r="F182" s="19" t="str">
        <f>IF($A182="","",SUMIFS('Stock OUT (Issue)'!$G$3:$G$302,'Stock OUT (Issue)'!$D$3:$D$302,$A182,'Stock OUT (Issue)'!$C$3:$C$302,"JOB-03"))</f>
        <v/>
      </c>
      <c r="G182" s="19" t="str">
        <f>IF($A182="","",SUMIFS('Stock OUT (Issue)'!$G$3:$G$302,'Stock OUT (Issue)'!$D$3:$D$302,$A182,'Stock OUT (Issue)'!$C$3:$C$302,"JOB-04"))</f>
        <v/>
      </c>
      <c r="H182" s="19" t="str">
        <f>IF($A182="","",SUMIFS('Stock OUT (Issue)'!$G$3:$G$302,'Stock OUT (Issue)'!$D$3:$D$302,$A182,'Stock OUT (Issue)'!$C$3:$C$302,"JOB-05"))</f>
        <v/>
      </c>
      <c r="I182" s="19" t="str">
        <f t="shared" si="1"/>
        <v/>
      </c>
    </row>
    <row r="183" ht="15.75" customHeight="1">
      <c r="A183" s="14" t="str">
        <f>IF('Item Master'!B183="","",'Item Master'!B183)</f>
        <v/>
      </c>
      <c r="B183" s="14" t="str">
        <f>IF($A183="","",'Item Master'!C183)</f>
        <v/>
      </c>
      <c r="C183" s="14" t="str">
        <f>IF($A183="","",'Item Master'!G183)</f>
        <v/>
      </c>
      <c r="D183" s="19" t="str">
        <f>IF($A183="","",SUMIFS('Stock OUT (Issue)'!$G$3:$G$302,'Stock OUT (Issue)'!$D$3:$D$302,$A183,'Stock OUT (Issue)'!$C$3:$C$302,"JOB-01"))</f>
        <v/>
      </c>
      <c r="E183" s="19" t="str">
        <f>IF($A183="","",SUMIFS('Stock OUT (Issue)'!$G$3:$G$302,'Stock OUT (Issue)'!$D$3:$D$302,$A183,'Stock OUT (Issue)'!$C$3:$C$302,"JOB-02"))</f>
        <v/>
      </c>
      <c r="F183" s="19" t="str">
        <f>IF($A183="","",SUMIFS('Stock OUT (Issue)'!$G$3:$G$302,'Stock OUT (Issue)'!$D$3:$D$302,$A183,'Stock OUT (Issue)'!$C$3:$C$302,"JOB-03"))</f>
        <v/>
      </c>
      <c r="G183" s="19" t="str">
        <f>IF($A183="","",SUMIFS('Stock OUT (Issue)'!$G$3:$G$302,'Stock OUT (Issue)'!$D$3:$D$302,$A183,'Stock OUT (Issue)'!$C$3:$C$302,"JOB-04"))</f>
        <v/>
      </c>
      <c r="H183" s="19" t="str">
        <f>IF($A183="","",SUMIFS('Stock OUT (Issue)'!$G$3:$G$302,'Stock OUT (Issue)'!$D$3:$D$302,$A183,'Stock OUT (Issue)'!$C$3:$C$302,"JOB-05"))</f>
        <v/>
      </c>
      <c r="I183" s="19" t="str">
        <f t="shared" si="1"/>
        <v/>
      </c>
    </row>
    <row r="184" ht="15.75" customHeight="1">
      <c r="A184" s="14" t="str">
        <f>IF('Item Master'!B184="","",'Item Master'!B184)</f>
        <v/>
      </c>
      <c r="B184" s="14" t="str">
        <f>IF($A184="","",'Item Master'!C184)</f>
        <v/>
      </c>
      <c r="C184" s="14" t="str">
        <f>IF($A184="","",'Item Master'!G184)</f>
        <v/>
      </c>
      <c r="D184" s="19" t="str">
        <f>IF($A184="","",SUMIFS('Stock OUT (Issue)'!$G$3:$G$302,'Stock OUT (Issue)'!$D$3:$D$302,$A184,'Stock OUT (Issue)'!$C$3:$C$302,"JOB-01"))</f>
        <v/>
      </c>
      <c r="E184" s="19" t="str">
        <f>IF($A184="","",SUMIFS('Stock OUT (Issue)'!$G$3:$G$302,'Stock OUT (Issue)'!$D$3:$D$302,$A184,'Stock OUT (Issue)'!$C$3:$C$302,"JOB-02"))</f>
        <v/>
      </c>
      <c r="F184" s="19" t="str">
        <f>IF($A184="","",SUMIFS('Stock OUT (Issue)'!$G$3:$G$302,'Stock OUT (Issue)'!$D$3:$D$302,$A184,'Stock OUT (Issue)'!$C$3:$C$302,"JOB-03"))</f>
        <v/>
      </c>
      <c r="G184" s="19" t="str">
        <f>IF($A184="","",SUMIFS('Stock OUT (Issue)'!$G$3:$G$302,'Stock OUT (Issue)'!$D$3:$D$302,$A184,'Stock OUT (Issue)'!$C$3:$C$302,"JOB-04"))</f>
        <v/>
      </c>
      <c r="H184" s="19" t="str">
        <f>IF($A184="","",SUMIFS('Stock OUT (Issue)'!$G$3:$G$302,'Stock OUT (Issue)'!$D$3:$D$302,$A184,'Stock OUT (Issue)'!$C$3:$C$302,"JOB-05"))</f>
        <v/>
      </c>
      <c r="I184" s="19" t="str">
        <f t="shared" si="1"/>
        <v/>
      </c>
    </row>
    <row r="185" ht="15.75" customHeight="1">
      <c r="A185" s="14" t="str">
        <f>IF('Item Master'!B185="","",'Item Master'!B185)</f>
        <v/>
      </c>
      <c r="B185" s="14" t="str">
        <f>IF($A185="","",'Item Master'!C185)</f>
        <v/>
      </c>
      <c r="C185" s="14" t="str">
        <f>IF($A185="","",'Item Master'!G185)</f>
        <v/>
      </c>
      <c r="D185" s="19" t="str">
        <f>IF($A185="","",SUMIFS('Stock OUT (Issue)'!$G$3:$G$302,'Stock OUT (Issue)'!$D$3:$D$302,$A185,'Stock OUT (Issue)'!$C$3:$C$302,"JOB-01"))</f>
        <v/>
      </c>
      <c r="E185" s="19" t="str">
        <f>IF($A185="","",SUMIFS('Stock OUT (Issue)'!$G$3:$G$302,'Stock OUT (Issue)'!$D$3:$D$302,$A185,'Stock OUT (Issue)'!$C$3:$C$302,"JOB-02"))</f>
        <v/>
      </c>
      <c r="F185" s="19" t="str">
        <f>IF($A185="","",SUMIFS('Stock OUT (Issue)'!$G$3:$G$302,'Stock OUT (Issue)'!$D$3:$D$302,$A185,'Stock OUT (Issue)'!$C$3:$C$302,"JOB-03"))</f>
        <v/>
      </c>
      <c r="G185" s="19" t="str">
        <f>IF($A185="","",SUMIFS('Stock OUT (Issue)'!$G$3:$G$302,'Stock OUT (Issue)'!$D$3:$D$302,$A185,'Stock OUT (Issue)'!$C$3:$C$302,"JOB-04"))</f>
        <v/>
      </c>
      <c r="H185" s="19" t="str">
        <f>IF($A185="","",SUMIFS('Stock OUT (Issue)'!$G$3:$G$302,'Stock OUT (Issue)'!$D$3:$D$302,$A185,'Stock OUT (Issue)'!$C$3:$C$302,"JOB-05"))</f>
        <v/>
      </c>
      <c r="I185" s="19" t="str">
        <f t="shared" si="1"/>
        <v/>
      </c>
    </row>
    <row r="186" ht="15.75" customHeight="1">
      <c r="A186" s="14" t="str">
        <f>IF('Item Master'!B186="","",'Item Master'!B186)</f>
        <v/>
      </c>
      <c r="B186" s="14" t="str">
        <f>IF($A186="","",'Item Master'!C186)</f>
        <v/>
      </c>
      <c r="C186" s="14" t="str">
        <f>IF($A186="","",'Item Master'!G186)</f>
        <v/>
      </c>
      <c r="D186" s="19" t="str">
        <f>IF($A186="","",SUMIFS('Stock OUT (Issue)'!$G$3:$G$302,'Stock OUT (Issue)'!$D$3:$D$302,$A186,'Stock OUT (Issue)'!$C$3:$C$302,"JOB-01"))</f>
        <v/>
      </c>
      <c r="E186" s="19" t="str">
        <f>IF($A186="","",SUMIFS('Stock OUT (Issue)'!$G$3:$G$302,'Stock OUT (Issue)'!$D$3:$D$302,$A186,'Stock OUT (Issue)'!$C$3:$C$302,"JOB-02"))</f>
        <v/>
      </c>
      <c r="F186" s="19" t="str">
        <f>IF($A186="","",SUMIFS('Stock OUT (Issue)'!$G$3:$G$302,'Stock OUT (Issue)'!$D$3:$D$302,$A186,'Stock OUT (Issue)'!$C$3:$C$302,"JOB-03"))</f>
        <v/>
      </c>
      <c r="G186" s="19" t="str">
        <f>IF($A186="","",SUMIFS('Stock OUT (Issue)'!$G$3:$G$302,'Stock OUT (Issue)'!$D$3:$D$302,$A186,'Stock OUT (Issue)'!$C$3:$C$302,"JOB-04"))</f>
        <v/>
      </c>
      <c r="H186" s="19" t="str">
        <f>IF($A186="","",SUMIFS('Stock OUT (Issue)'!$G$3:$G$302,'Stock OUT (Issue)'!$D$3:$D$302,$A186,'Stock OUT (Issue)'!$C$3:$C$302,"JOB-05"))</f>
        <v/>
      </c>
      <c r="I186" s="19" t="str">
        <f t="shared" si="1"/>
        <v/>
      </c>
    </row>
    <row r="187" ht="15.75" customHeight="1">
      <c r="A187" s="14" t="str">
        <f>IF('Item Master'!B187="","",'Item Master'!B187)</f>
        <v/>
      </c>
      <c r="B187" s="14" t="str">
        <f>IF($A187="","",'Item Master'!C187)</f>
        <v/>
      </c>
      <c r="C187" s="14" t="str">
        <f>IF($A187="","",'Item Master'!G187)</f>
        <v/>
      </c>
      <c r="D187" s="19" t="str">
        <f>IF($A187="","",SUMIFS('Stock OUT (Issue)'!$G$3:$G$302,'Stock OUT (Issue)'!$D$3:$D$302,$A187,'Stock OUT (Issue)'!$C$3:$C$302,"JOB-01"))</f>
        <v/>
      </c>
      <c r="E187" s="19" t="str">
        <f>IF($A187="","",SUMIFS('Stock OUT (Issue)'!$G$3:$G$302,'Stock OUT (Issue)'!$D$3:$D$302,$A187,'Stock OUT (Issue)'!$C$3:$C$302,"JOB-02"))</f>
        <v/>
      </c>
      <c r="F187" s="19" t="str">
        <f>IF($A187="","",SUMIFS('Stock OUT (Issue)'!$G$3:$G$302,'Stock OUT (Issue)'!$D$3:$D$302,$A187,'Stock OUT (Issue)'!$C$3:$C$302,"JOB-03"))</f>
        <v/>
      </c>
      <c r="G187" s="19" t="str">
        <f>IF($A187="","",SUMIFS('Stock OUT (Issue)'!$G$3:$G$302,'Stock OUT (Issue)'!$D$3:$D$302,$A187,'Stock OUT (Issue)'!$C$3:$C$302,"JOB-04"))</f>
        <v/>
      </c>
      <c r="H187" s="19" t="str">
        <f>IF($A187="","",SUMIFS('Stock OUT (Issue)'!$G$3:$G$302,'Stock OUT (Issue)'!$D$3:$D$302,$A187,'Stock OUT (Issue)'!$C$3:$C$302,"JOB-05"))</f>
        <v/>
      </c>
      <c r="I187" s="19" t="str">
        <f t="shared" si="1"/>
        <v/>
      </c>
    </row>
    <row r="188" ht="15.75" customHeight="1">
      <c r="A188" s="14" t="str">
        <f>IF('Item Master'!B188="","",'Item Master'!B188)</f>
        <v/>
      </c>
      <c r="B188" s="14" t="str">
        <f>IF($A188="","",'Item Master'!C188)</f>
        <v/>
      </c>
      <c r="C188" s="14" t="str">
        <f>IF($A188="","",'Item Master'!G188)</f>
        <v/>
      </c>
      <c r="D188" s="19" t="str">
        <f>IF($A188="","",SUMIFS('Stock OUT (Issue)'!$G$3:$G$302,'Stock OUT (Issue)'!$D$3:$D$302,$A188,'Stock OUT (Issue)'!$C$3:$C$302,"JOB-01"))</f>
        <v/>
      </c>
      <c r="E188" s="19" t="str">
        <f>IF($A188="","",SUMIFS('Stock OUT (Issue)'!$G$3:$G$302,'Stock OUT (Issue)'!$D$3:$D$302,$A188,'Stock OUT (Issue)'!$C$3:$C$302,"JOB-02"))</f>
        <v/>
      </c>
      <c r="F188" s="19" t="str">
        <f>IF($A188="","",SUMIFS('Stock OUT (Issue)'!$G$3:$G$302,'Stock OUT (Issue)'!$D$3:$D$302,$A188,'Stock OUT (Issue)'!$C$3:$C$302,"JOB-03"))</f>
        <v/>
      </c>
      <c r="G188" s="19" t="str">
        <f>IF($A188="","",SUMIFS('Stock OUT (Issue)'!$G$3:$G$302,'Stock OUT (Issue)'!$D$3:$D$302,$A188,'Stock OUT (Issue)'!$C$3:$C$302,"JOB-04"))</f>
        <v/>
      </c>
      <c r="H188" s="19" t="str">
        <f>IF($A188="","",SUMIFS('Stock OUT (Issue)'!$G$3:$G$302,'Stock OUT (Issue)'!$D$3:$D$302,$A188,'Stock OUT (Issue)'!$C$3:$C$302,"JOB-05"))</f>
        <v/>
      </c>
      <c r="I188" s="19" t="str">
        <f t="shared" si="1"/>
        <v/>
      </c>
    </row>
    <row r="189" ht="15.75" customHeight="1">
      <c r="A189" s="14" t="str">
        <f>IF('Item Master'!B189="","",'Item Master'!B189)</f>
        <v/>
      </c>
      <c r="B189" s="14" t="str">
        <f>IF($A189="","",'Item Master'!C189)</f>
        <v/>
      </c>
      <c r="C189" s="14" t="str">
        <f>IF($A189="","",'Item Master'!G189)</f>
        <v/>
      </c>
      <c r="D189" s="19" t="str">
        <f>IF($A189="","",SUMIFS('Stock OUT (Issue)'!$G$3:$G$302,'Stock OUT (Issue)'!$D$3:$D$302,$A189,'Stock OUT (Issue)'!$C$3:$C$302,"JOB-01"))</f>
        <v/>
      </c>
      <c r="E189" s="19" t="str">
        <f>IF($A189="","",SUMIFS('Stock OUT (Issue)'!$G$3:$G$302,'Stock OUT (Issue)'!$D$3:$D$302,$A189,'Stock OUT (Issue)'!$C$3:$C$302,"JOB-02"))</f>
        <v/>
      </c>
      <c r="F189" s="19" t="str">
        <f>IF($A189="","",SUMIFS('Stock OUT (Issue)'!$G$3:$G$302,'Stock OUT (Issue)'!$D$3:$D$302,$A189,'Stock OUT (Issue)'!$C$3:$C$302,"JOB-03"))</f>
        <v/>
      </c>
      <c r="G189" s="19" t="str">
        <f>IF($A189="","",SUMIFS('Stock OUT (Issue)'!$G$3:$G$302,'Stock OUT (Issue)'!$D$3:$D$302,$A189,'Stock OUT (Issue)'!$C$3:$C$302,"JOB-04"))</f>
        <v/>
      </c>
      <c r="H189" s="19" t="str">
        <f>IF($A189="","",SUMIFS('Stock OUT (Issue)'!$G$3:$G$302,'Stock OUT (Issue)'!$D$3:$D$302,$A189,'Stock OUT (Issue)'!$C$3:$C$302,"JOB-05"))</f>
        <v/>
      </c>
      <c r="I189" s="19" t="str">
        <f t="shared" si="1"/>
        <v/>
      </c>
    </row>
    <row r="190" ht="15.75" customHeight="1">
      <c r="A190" s="14" t="str">
        <f>IF('Item Master'!B190="","",'Item Master'!B190)</f>
        <v/>
      </c>
      <c r="B190" s="14" t="str">
        <f>IF($A190="","",'Item Master'!C190)</f>
        <v/>
      </c>
      <c r="C190" s="14" t="str">
        <f>IF($A190="","",'Item Master'!G190)</f>
        <v/>
      </c>
      <c r="D190" s="19" t="str">
        <f>IF($A190="","",SUMIFS('Stock OUT (Issue)'!$G$3:$G$302,'Stock OUT (Issue)'!$D$3:$D$302,$A190,'Stock OUT (Issue)'!$C$3:$C$302,"JOB-01"))</f>
        <v/>
      </c>
      <c r="E190" s="19" t="str">
        <f>IF($A190="","",SUMIFS('Stock OUT (Issue)'!$G$3:$G$302,'Stock OUT (Issue)'!$D$3:$D$302,$A190,'Stock OUT (Issue)'!$C$3:$C$302,"JOB-02"))</f>
        <v/>
      </c>
      <c r="F190" s="19" t="str">
        <f>IF($A190="","",SUMIFS('Stock OUT (Issue)'!$G$3:$G$302,'Stock OUT (Issue)'!$D$3:$D$302,$A190,'Stock OUT (Issue)'!$C$3:$C$302,"JOB-03"))</f>
        <v/>
      </c>
      <c r="G190" s="19" t="str">
        <f>IF($A190="","",SUMIFS('Stock OUT (Issue)'!$G$3:$G$302,'Stock OUT (Issue)'!$D$3:$D$302,$A190,'Stock OUT (Issue)'!$C$3:$C$302,"JOB-04"))</f>
        <v/>
      </c>
      <c r="H190" s="19" t="str">
        <f>IF($A190="","",SUMIFS('Stock OUT (Issue)'!$G$3:$G$302,'Stock OUT (Issue)'!$D$3:$D$302,$A190,'Stock OUT (Issue)'!$C$3:$C$302,"JOB-05"))</f>
        <v/>
      </c>
      <c r="I190" s="19" t="str">
        <f t="shared" si="1"/>
        <v/>
      </c>
    </row>
    <row r="191" ht="15.75" customHeight="1">
      <c r="A191" s="14" t="str">
        <f>IF('Item Master'!B191="","",'Item Master'!B191)</f>
        <v/>
      </c>
      <c r="B191" s="14" t="str">
        <f>IF($A191="","",'Item Master'!C191)</f>
        <v/>
      </c>
      <c r="C191" s="14" t="str">
        <f>IF($A191="","",'Item Master'!G191)</f>
        <v/>
      </c>
      <c r="D191" s="19" t="str">
        <f>IF($A191="","",SUMIFS('Stock OUT (Issue)'!$G$3:$G$302,'Stock OUT (Issue)'!$D$3:$D$302,$A191,'Stock OUT (Issue)'!$C$3:$C$302,"JOB-01"))</f>
        <v/>
      </c>
      <c r="E191" s="19" t="str">
        <f>IF($A191="","",SUMIFS('Stock OUT (Issue)'!$G$3:$G$302,'Stock OUT (Issue)'!$D$3:$D$302,$A191,'Stock OUT (Issue)'!$C$3:$C$302,"JOB-02"))</f>
        <v/>
      </c>
      <c r="F191" s="19" t="str">
        <f>IF($A191="","",SUMIFS('Stock OUT (Issue)'!$G$3:$G$302,'Stock OUT (Issue)'!$D$3:$D$302,$A191,'Stock OUT (Issue)'!$C$3:$C$302,"JOB-03"))</f>
        <v/>
      </c>
      <c r="G191" s="19" t="str">
        <f>IF($A191="","",SUMIFS('Stock OUT (Issue)'!$G$3:$G$302,'Stock OUT (Issue)'!$D$3:$D$302,$A191,'Stock OUT (Issue)'!$C$3:$C$302,"JOB-04"))</f>
        <v/>
      </c>
      <c r="H191" s="19" t="str">
        <f>IF($A191="","",SUMIFS('Stock OUT (Issue)'!$G$3:$G$302,'Stock OUT (Issue)'!$D$3:$D$302,$A191,'Stock OUT (Issue)'!$C$3:$C$302,"JOB-05"))</f>
        <v/>
      </c>
      <c r="I191" s="19" t="str">
        <f t="shared" si="1"/>
        <v/>
      </c>
    </row>
    <row r="192" ht="15.75" customHeight="1">
      <c r="A192" s="14" t="str">
        <f>IF('Item Master'!B192="","",'Item Master'!B192)</f>
        <v/>
      </c>
      <c r="B192" s="14" t="str">
        <f>IF($A192="","",'Item Master'!C192)</f>
        <v/>
      </c>
      <c r="C192" s="14" t="str">
        <f>IF($A192="","",'Item Master'!G192)</f>
        <v/>
      </c>
      <c r="D192" s="19" t="str">
        <f>IF($A192="","",SUMIFS('Stock OUT (Issue)'!$G$3:$G$302,'Stock OUT (Issue)'!$D$3:$D$302,$A192,'Stock OUT (Issue)'!$C$3:$C$302,"JOB-01"))</f>
        <v/>
      </c>
      <c r="E192" s="19" t="str">
        <f>IF($A192="","",SUMIFS('Stock OUT (Issue)'!$G$3:$G$302,'Stock OUT (Issue)'!$D$3:$D$302,$A192,'Stock OUT (Issue)'!$C$3:$C$302,"JOB-02"))</f>
        <v/>
      </c>
      <c r="F192" s="19" t="str">
        <f>IF($A192="","",SUMIFS('Stock OUT (Issue)'!$G$3:$G$302,'Stock OUT (Issue)'!$D$3:$D$302,$A192,'Stock OUT (Issue)'!$C$3:$C$302,"JOB-03"))</f>
        <v/>
      </c>
      <c r="G192" s="19" t="str">
        <f>IF($A192="","",SUMIFS('Stock OUT (Issue)'!$G$3:$G$302,'Stock OUT (Issue)'!$D$3:$D$302,$A192,'Stock OUT (Issue)'!$C$3:$C$302,"JOB-04"))</f>
        <v/>
      </c>
      <c r="H192" s="19" t="str">
        <f>IF($A192="","",SUMIFS('Stock OUT (Issue)'!$G$3:$G$302,'Stock OUT (Issue)'!$D$3:$D$302,$A192,'Stock OUT (Issue)'!$C$3:$C$302,"JOB-05"))</f>
        <v/>
      </c>
      <c r="I192" s="19" t="str">
        <f t="shared" si="1"/>
        <v/>
      </c>
    </row>
    <row r="193" ht="15.75" customHeight="1">
      <c r="A193" s="14" t="str">
        <f>IF('Item Master'!B193="","",'Item Master'!B193)</f>
        <v/>
      </c>
      <c r="B193" s="14" t="str">
        <f>IF($A193="","",'Item Master'!C193)</f>
        <v/>
      </c>
      <c r="C193" s="14" t="str">
        <f>IF($A193="","",'Item Master'!G193)</f>
        <v/>
      </c>
      <c r="D193" s="19" t="str">
        <f>IF($A193="","",SUMIFS('Stock OUT (Issue)'!$G$3:$G$302,'Stock OUT (Issue)'!$D$3:$D$302,$A193,'Stock OUT (Issue)'!$C$3:$C$302,"JOB-01"))</f>
        <v/>
      </c>
      <c r="E193" s="19" t="str">
        <f>IF($A193="","",SUMIFS('Stock OUT (Issue)'!$G$3:$G$302,'Stock OUT (Issue)'!$D$3:$D$302,$A193,'Stock OUT (Issue)'!$C$3:$C$302,"JOB-02"))</f>
        <v/>
      </c>
      <c r="F193" s="19" t="str">
        <f>IF($A193="","",SUMIFS('Stock OUT (Issue)'!$G$3:$G$302,'Stock OUT (Issue)'!$D$3:$D$302,$A193,'Stock OUT (Issue)'!$C$3:$C$302,"JOB-03"))</f>
        <v/>
      </c>
      <c r="G193" s="19" t="str">
        <f>IF($A193="","",SUMIFS('Stock OUT (Issue)'!$G$3:$G$302,'Stock OUT (Issue)'!$D$3:$D$302,$A193,'Stock OUT (Issue)'!$C$3:$C$302,"JOB-04"))</f>
        <v/>
      </c>
      <c r="H193" s="19" t="str">
        <f>IF($A193="","",SUMIFS('Stock OUT (Issue)'!$G$3:$G$302,'Stock OUT (Issue)'!$D$3:$D$302,$A193,'Stock OUT (Issue)'!$C$3:$C$302,"JOB-05"))</f>
        <v/>
      </c>
      <c r="I193" s="19" t="str">
        <f t="shared" si="1"/>
        <v/>
      </c>
    </row>
    <row r="194" ht="15.75" customHeight="1">
      <c r="A194" s="14" t="str">
        <f>IF('Item Master'!B194="","",'Item Master'!B194)</f>
        <v/>
      </c>
      <c r="B194" s="14" t="str">
        <f>IF($A194="","",'Item Master'!C194)</f>
        <v/>
      </c>
      <c r="C194" s="14" t="str">
        <f>IF($A194="","",'Item Master'!G194)</f>
        <v/>
      </c>
      <c r="D194" s="19" t="str">
        <f>IF($A194="","",SUMIFS('Stock OUT (Issue)'!$G$3:$G$302,'Stock OUT (Issue)'!$D$3:$D$302,$A194,'Stock OUT (Issue)'!$C$3:$C$302,"JOB-01"))</f>
        <v/>
      </c>
      <c r="E194" s="19" t="str">
        <f>IF($A194="","",SUMIFS('Stock OUT (Issue)'!$G$3:$G$302,'Stock OUT (Issue)'!$D$3:$D$302,$A194,'Stock OUT (Issue)'!$C$3:$C$302,"JOB-02"))</f>
        <v/>
      </c>
      <c r="F194" s="19" t="str">
        <f>IF($A194="","",SUMIFS('Stock OUT (Issue)'!$G$3:$G$302,'Stock OUT (Issue)'!$D$3:$D$302,$A194,'Stock OUT (Issue)'!$C$3:$C$302,"JOB-03"))</f>
        <v/>
      </c>
      <c r="G194" s="19" t="str">
        <f>IF($A194="","",SUMIFS('Stock OUT (Issue)'!$G$3:$G$302,'Stock OUT (Issue)'!$D$3:$D$302,$A194,'Stock OUT (Issue)'!$C$3:$C$302,"JOB-04"))</f>
        <v/>
      </c>
      <c r="H194" s="19" t="str">
        <f>IF($A194="","",SUMIFS('Stock OUT (Issue)'!$G$3:$G$302,'Stock OUT (Issue)'!$D$3:$D$302,$A194,'Stock OUT (Issue)'!$C$3:$C$302,"JOB-05"))</f>
        <v/>
      </c>
      <c r="I194" s="19" t="str">
        <f t="shared" si="1"/>
        <v/>
      </c>
    </row>
    <row r="195" ht="15.75" customHeight="1">
      <c r="A195" s="14" t="str">
        <f>IF('Item Master'!B195="","",'Item Master'!B195)</f>
        <v/>
      </c>
      <c r="B195" s="14" t="str">
        <f>IF($A195="","",'Item Master'!C195)</f>
        <v/>
      </c>
      <c r="C195" s="14" t="str">
        <f>IF($A195="","",'Item Master'!G195)</f>
        <v/>
      </c>
      <c r="D195" s="19" t="str">
        <f>IF($A195="","",SUMIFS('Stock OUT (Issue)'!$G$3:$G$302,'Stock OUT (Issue)'!$D$3:$D$302,$A195,'Stock OUT (Issue)'!$C$3:$C$302,"JOB-01"))</f>
        <v/>
      </c>
      <c r="E195" s="19" t="str">
        <f>IF($A195="","",SUMIFS('Stock OUT (Issue)'!$G$3:$G$302,'Stock OUT (Issue)'!$D$3:$D$302,$A195,'Stock OUT (Issue)'!$C$3:$C$302,"JOB-02"))</f>
        <v/>
      </c>
      <c r="F195" s="19" t="str">
        <f>IF($A195="","",SUMIFS('Stock OUT (Issue)'!$G$3:$G$302,'Stock OUT (Issue)'!$D$3:$D$302,$A195,'Stock OUT (Issue)'!$C$3:$C$302,"JOB-03"))</f>
        <v/>
      </c>
      <c r="G195" s="19" t="str">
        <f>IF($A195="","",SUMIFS('Stock OUT (Issue)'!$G$3:$G$302,'Stock OUT (Issue)'!$D$3:$D$302,$A195,'Stock OUT (Issue)'!$C$3:$C$302,"JOB-04"))</f>
        <v/>
      </c>
      <c r="H195" s="19" t="str">
        <f>IF($A195="","",SUMIFS('Stock OUT (Issue)'!$G$3:$G$302,'Stock OUT (Issue)'!$D$3:$D$302,$A195,'Stock OUT (Issue)'!$C$3:$C$302,"JOB-05"))</f>
        <v/>
      </c>
      <c r="I195" s="19" t="str">
        <f t="shared" si="1"/>
        <v/>
      </c>
    </row>
    <row r="196" ht="15.75" customHeight="1">
      <c r="A196" s="14" t="str">
        <f>IF('Item Master'!B196="","",'Item Master'!B196)</f>
        <v/>
      </c>
      <c r="B196" s="14" t="str">
        <f>IF($A196="","",'Item Master'!C196)</f>
        <v/>
      </c>
      <c r="C196" s="14" t="str">
        <f>IF($A196="","",'Item Master'!G196)</f>
        <v/>
      </c>
      <c r="D196" s="19" t="str">
        <f>IF($A196="","",SUMIFS('Stock OUT (Issue)'!$G$3:$G$302,'Stock OUT (Issue)'!$D$3:$D$302,$A196,'Stock OUT (Issue)'!$C$3:$C$302,"JOB-01"))</f>
        <v/>
      </c>
      <c r="E196" s="19" t="str">
        <f>IF($A196="","",SUMIFS('Stock OUT (Issue)'!$G$3:$G$302,'Stock OUT (Issue)'!$D$3:$D$302,$A196,'Stock OUT (Issue)'!$C$3:$C$302,"JOB-02"))</f>
        <v/>
      </c>
      <c r="F196" s="19" t="str">
        <f>IF($A196="","",SUMIFS('Stock OUT (Issue)'!$G$3:$G$302,'Stock OUT (Issue)'!$D$3:$D$302,$A196,'Stock OUT (Issue)'!$C$3:$C$302,"JOB-03"))</f>
        <v/>
      </c>
      <c r="G196" s="19" t="str">
        <f>IF($A196="","",SUMIFS('Stock OUT (Issue)'!$G$3:$G$302,'Stock OUT (Issue)'!$D$3:$D$302,$A196,'Stock OUT (Issue)'!$C$3:$C$302,"JOB-04"))</f>
        <v/>
      </c>
      <c r="H196" s="19" t="str">
        <f>IF($A196="","",SUMIFS('Stock OUT (Issue)'!$G$3:$G$302,'Stock OUT (Issue)'!$D$3:$D$302,$A196,'Stock OUT (Issue)'!$C$3:$C$302,"JOB-05"))</f>
        <v/>
      </c>
      <c r="I196" s="19" t="str">
        <f t="shared" si="1"/>
        <v/>
      </c>
    </row>
    <row r="197" ht="15.75" customHeight="1">
      <c r="A197" s="14" t="str">
        <f>IF('Item Master'!B197="","",'Item Master'!B197)</f>
        <v/>
      </c>
      <c r="B197" s="14" t="str">
        <f>IF($A197="","",'Item Master'!C197)</f>
        <v/>
      </c>
      <c r="C197" s="14" t="str">
        <f>IF($A197="","",'Item Master'!G197)</f>
        <v/>
      </c>
      <c r="D197" s="19" t="str">
        <f>IF($A197="","",SUMIFS('Stock OUT (Issue)'!$G$3:$G$302,'Stock OUT (Issue)'!$D$3:$D$302,$A197,'Stock OUT (Issue)'!$C$3:$C$302,"JOB-01"))</f>
        <v/>
      </c>
      <c r="E197" s="19" t="str">
        <f>IF($A197="","",SUMIFS('Stock OUT (Issue)'!$G$3:$G$302,'Stock OUT (Issue)'!$D$3:$D$302,$A197,'Stock OUT (Issue)'!$C$3:$C$302,"JOB-02"))</f>
        <v/>
      </c>
      <c r="F197" s="19" t="str">
        <f>IF($A197="","",SUMIFS('Stock OUT (Issue)'!$G$3:$G$302,'Stock OUT (Issue)'!$D$3:$D$302,$A197,'Stock OUT (Issue)'!$C$3:$C$302,"JOB-03"))</f>
        <v/>
      </c>
      <c r="G197" s="19" t="str">
        <f>IF($A197="","",SUMIFS('Stock OUT (Issue)'!$G$3:$G$302,'Stock OUT (Issue)'!$D$3:$D$302,$A197,'Stock OUT (Issue)'!$C$3:$C$302,"JOB-04"))</f>
        <v/>
      </c>
      <c r="H197" s="19" t="str">
        <f>IF($A197="","",SUMIFS('Stock OUT (Issue)'!$G$3:$G$302,'Stock OUT (Issue)'!$D$3:$D$302,$A197,'Stock OUT (Issue)'!$C$3:$C$302,"JOB-05"))</f>
        <v/>
      </c>
      <c r="I197" s="19" t="str">
        <f t="shared" si="1"/>
        <v/>
      </c>
    </row>
    <row r="198" ht="15.75" customHeight="1">
      <c r="A198" s="14" t="str">
        <f>IF('Item Master'!B198="","",'Item Master'!B198)</f>
        <v/>
      </c>
      <c r="B198" s="14" t="str">
        <f>IF($A198="","",'Item Master'!C198)</f>
        <v/>
      </c>
      <c r="C198" s="14" t="str">
        <f>IF($A198="","",'Item Master'!G198)</f>
        <v/>
      </c>
      <c r="D198" s="19" t="str">
        <f>IF($A198="","",SUMIFS('Stock OUT (Issue)'!$G$3:$G$302,'Stock OUT (Issue)'!$D$3:$D$302,$A198,'Stock OUT (Issue)'!$C$3:$C$302,"JOB-01"))</f>
        <v/>
      </c>
      <c r="E198" s="19" t="str">
        <f>IF($A198="","",SUMIFS('Stock OUT (Issue)'!$G$3:$G$302,'Stock OUT (Issue)'!$D$3:$D$302,$A198,'Stock OUT (Issue)'!$C$3:$C$302,"JOB-02"))</f>
        <v/>
      </c>
      <c r="F198" s="19" t="str">
        <f>IF($A198="","",SUMIFS('Stock OUT (Issue)'!$G$3:$G$302,'Stock OUT (Issue)'!$D$3:$D$302,$A198,'Stock OUT (Issue)'!$C$3:$C$302,"JOB-03"))</f>
        <v/>
      </c>
      <c r="G198" s="19" t="str">
        <f>IF($A198="","",SUMIFS('Stock OUT (Issue)'!$G$3:$G$302,'Stock OUT (Issue)'!$D$3:$D$302,$A198,'Stock OUT (Issue)'!$C$3:$C$302,"JOB-04"))</f>
        <v/>
      </c>
      <c r="H198" s="19" t="str">
        <f>IF($A198="","",SUMIFS('Stock OUT (Issue)'!$G$3:$G$302,'Stock OUT (Issue)'!$D$3:$D$302,$A198,'Stock OUT (Issue)'!$C$3:$C$302,"JOB-05"))</f>
        <v/>
      </c>
      <c r="I198" s="19" t="str">
        <f t="shared" si="1"/>
        <v/>
      </c>
    </row>
    <row r="199" ht="15.75" customHeight="1">
      <c r="A199" s="14" t="str">
        <f>IF('Item Master'!B199="","",'Item Master'!B199)</f>
        <v/>
      </c>
      <c r="B199" s="14" t="str">
        <f>IF($A199="","",'Item Master'!C199)</f>
        <v/>
      </c>
      <c r="C199" s="14" t="str">
        <f>IF($A199="","",'Item Master'!G199)</f>
        <v/>
      </c>
      <c r="D199" s="19" t="str">
        <f>IF($A199="","",SUMIFS('Stock OUT (Issue)'!$G$3:$G$302,'Stock OUT (Issue)'!$D$3:$D$302,$A199,'Stock OUT (Issue)'!$C$3:$C$302,"JOB-01"))</f>
        <v/>
      </c>
      <c r="E199" s="19" t="str">
        <f>IF($A199="","",SUMIFS('Stock OUT (Issue)'!$G$3:$G$302,'Stock OUT (Issue)'!$D$3:$D$302,$A199,'Stock OUT (Issue)'!$C$3:$C$302,"JOB-02"))</f>
        <v/>
      </c>
      <c r="F199" s="19" t="str">
        <f>IF($A199="","",SUMIFS('Stock OUT (Issue)'!$G$3:$G$302,'Stock OUT (Issue)'!$D$3:$D$302,$A199,'Stock OUT (Issue)'!$C$3:$C$302,"JOB-03"))</f>
        <v/>
      </c>
      <c r="G199" s="19" t="str">
        <f>IF($A199="","",SUMIFS('Stock OUT (Issue)'!$G$3:$G$302,'Stock OUT (Issue)'!$D$3:$D$302,$A199,'Stock OUT (Issue)'!$C$3:$C$302,"JOB-04"))</f>
        <v/>
      </c>
      <c r="H199" s="19" t="str">
        <f>IF($A199="","",SUMIFS('Stock OUT (Issue)'!$G$3:$G$302,'Stock OUT (Issue)'!$D$3:$D$302,$A199,'Stock OUT (Issue)'!$C$3:$C$302,"JOB-05"))</f>
        <v/>
      </c>
      <c r="I199" s="19" t="str">
        <f t="shared" si="1"/>
        <v/>
      </c>
    </row>
    <row r="200" ht="15.75" customHeight="1">
      <c r="A200" s="14" t="str">
        <f>IF('Item Master'!B200="","",'Item Master'!B200)</f>
        <v/>
      </c>
      <c r="B200" s="14" t="str">
        <f>IF($A200="","",'Item Master'!C200)</f>
        <v/>
      </c>
      <c r="C200" s="14" t="str">
        <f>IF($A200="","",'Item Master'!G200)</f>
        <v/>
      </c>
      <c r="D200" s="19" t="str">
        <f>IF($A200="","",SUMIFS('Stock OUT (Issue)'!$G$3:$G$302,'Stock OUT (Issue)'!$D$3:$D$302,$A200,'Stock OUT (Issue)'!$C$3:$C$302,"JOB-01"))</f>
        <v/>
      </c>
      <c r="E200" s="19" t="str">
        <f>IF($A200="","",SUMIFS('Stock OUT (Issue)'!$G$3:$G$302,'Stock OUT (Issue)'!$D$3:$D$302,$A200,'Stock OUT (Issue)'!$C$3:$C$302,"JOB-02"))</f>
        <v/>
      </c>
      <c r="F200" s="19" t="str">
        <f>IF($A200="","",SUMIFS('Stock OUT (Issue)'!$G$3:$G$302,'Stock OUT (Issue)'!$D$3:$D$302,$A200,'Stock OUT (Issue)'!$C$3:$C$302,"JOB-03"))</f>
        <v/>
      </c>
      <c r="G200" s="19" t="str">
        <f>IF($A200="","",SUMIFS('Stock OUT (Issue)'!$G$3:$G$302,'Stock OUT (Issue)'!$D$3:$D$302,$A200,'Stock OUT (Issue)'!$C$3:$C$302,"JOB-04"))</f>
        <v/>
      </c>
      <c r="H200" s="19" t="str">
        <f>IF($A200="","",SUMIFS('Stock OUT (Issue)'!$G$3:$G$302,'Stock OUT (Issue)'!$D$3:$D$302,$A200,'Stock OUT (Issue)'!$C$3:$C$302,"JOB-05"))</f>
        <v/>
      </c>
      <c r="I200" s="19" t="str">
        <f t="shared" si="1"/>
        <v/>
      </c>
    </row>
    <row r="201" ht="15.75" customHeight="1">
      <c r="A201" s="14" t="str">
        <f>IF('Item Master'!B201="","",'Item Master'!B201)</f>
        <v/>
      </c>
      <c r="B201" s="14" t="str">
        <f>IF($A201="","",'Item Master'!C201)</f>
        <v/>
      </c>
      <c r="C201" s="14" t="str">
        <f>IF($A201="","",'Item Master'!G201)</f>
        <v/>
      </c>
      <c r="D201" s="19" t="str">
        <f>IF($A201="","",SUMIFS('Stock OUT (Issue)'!$G$3:$G$302,'Stock OUT (Issue)'!$D$3:$D$302,$A201,'Stock OUT (Issue)'!$C$3:$C$302,"JOB-01"))</f>
        <v/>
      </c>
      <c r="E201" s="19" t="str">
        <f>IF($A201="","",SUMIFS('Stock OUT (Issue)'!$G$3:$G$302,'Stock OUT (Issue)'!$D$3:$D$302,$A201,'Stock OUT (Issue)'!$C$3:$C$302,"JOB-02"))</f>
        <v/>
      </c>
      <c r="F201" s="19" t="str">
        <f>IF($A201="","",SUMIFS('Stock OUT (Issue)'!$G$3:$G$302,'Stock OUT (Issue)'!$D$3:$D$302,$A201,'Stock OUT (Issue)'!$C$3:$C$302,"JOB-03"))</f>
        <v/>
      </c>
      <c r="G201" s="19" t="str">
        <f>IF($A201="","",SUMIFS('Stock OUT (Issue)'!$G$3:$G$302,'Stock OUT (Issue)'!$D$3:$D$302,$A201,'Stock OUT (Issue)'!$C$3:$C$302,"JOB-04"))</f>
        <v/>
      </c>
      <c r="H201" s="19" t="str">
        <f>IF($A201="","",SUMIFS('Stock OUT (Issue)'!$G$3:$G$302,'Stock OUT (Issue)'!$D$3:$D$302,$A201,'Stock OUT (Issue)'!$C$3:$C$302,"JOB-05"))</f>
        <v/>
      </c>
      <c r="I201" s="19" t="str">
        <f t="shared" si="1"/>
        <v/>
      </c>
    </row>
    <row r="202" ht="15.75" customHeight="1">
      <c r="A202" s="14" t="str">
        <f>IF('Item Master'!B202="","",'Item Master'!B202)</f>
        <v/>
      </c>
      <c r="B202" s="14" t="str">
        <f>IF($A202="","",'Item Master'!C202)</f>
        <v/>
      </c>
      <c r="C202" s="14" t="str">
        <f>IF($A202="","",'Item Master'!G202)</f>
        <v/>
      </c>
      <c r="D202" s="19" t="str">
        <f>IF($A202="","",SUMIFS('Stock OUT (Issue)'!$G$3:$G$302,'Stock OUT (Issue)'!$D$3:$D$302,$A202,'Stock OUT (Issue)'!$C$3:$C$302,"JOB-01"))</f>
        <v/>
      </c>
      <c r="E202" s="19" t="str">
        <f>IF($A202="","",SUMIFS('Stock OUT (Issue)'!$G$3:$G$302,'Stock OUT (Issue)'!$D$3:$D$302,$A202,'Stock OUT (Issue)'!$C$3:$C$302,"JOB-02"))</f>
        <v/>
      </c>
      <c r="F202" s="19" t="str">
        <f>IF($A202="","",SUMIFS('Stock OUT (Issue)'!$G$3:$G$302,'Stock OUT (Issue)'!$D$3:$D$302,$A202,'Stock OUT (Issue)'!$C$3:$C$302,"JOB-03"))</f>
        <v/>
      </c>
      <c r="G202" s="19" t="str">
        <f>IF($A202="","",SUMIFS('Stock OUT (Issue)'!$G$3:$G$302,'Stock OUT (Issue)'!$D$3:$D$302,$A202,'Stock OUT (Issue)'!$C$3:$C$302,"JOB-04"))</f>
        <v/>
      </c>
      <c r="H202" s="19" t="str">
        <f>IF($A202="","",SUMIFS('Stock OUT (Issue)'!$G$3:$G$302,'Stock OUT (Issue)'!$D$3:$D$302,$A202,'Stock OUT (Issue)'!$C$3:$C$302,"JOB-05"))</f>
        <v/>
      </c>
      <c r="I202" s="19" t="str">
        <f t="shared" si="1"/>
        <v/>
      </c>
    </row>
    <row r="203" ht="15.75" customHeight="1">
      <c r="A203" s="14" t="str">
        <f>IF('Item Master'!B203="","",'Item Master'!B203)</f>
        <v/>
      </c>
      <c r="B203" s="14" t="str">
        <f>IF($A203="","",'Item Master'!C203)</f>
        <v/>
      </c>
      <c r="C203" s="14" t="str">
        <f>IF($A203="","",'Item Master'!G203)</f>
        <v/>
      </c>
      <c r="D203" s="19" t="str">
        <f>IF($A203="","",SUMIFS('Stock OUT (Issue)'!$G$3:$G$302,'Stock OUT (Issue)'!$D$3:$D$302,$A203,'Stock OUT (Issue)'!$C$3:$C$302,"JOB-01"))</f>
        <v/>
      </c>
      <c r="E203" s="19" t="str">
        <f>IF($A203="","",SUMIFS('Stock OUT (Issue)'!$G$3:$G$302,'Stock OUT (Issue)'!$D$3:$D$302,$A203,'Stock OUT (Issue)'!$C$3:$C$302,"JOB-02"))</f>
        <v/>
      </c>
      <c r="F203" s="19" t="str">
        <f>IF($A203="","",SUMIFS('Stock OUT (Issue)'!$G$3:$G$302,'Stock OUT (Issue)'!$D$3:$D$302,$A203,'Stock OUT (Issue)'!$C$3:$C$302,"JOB-03"))</f>
        <v/>
      </c>
      <c r="G203" s="19" t="str">
        <f>IF($A203="","",SUMIFS('Stock OUT (Issue)'!$G$3:$G$302,'Stock OUT (Issue)'!$D$3:$D$302,$A203,'Stock OUT (Issue)'!$C$3:$C$302,"JOB-04"))</f>
        <v/>
      </c>
      <c r="H203" s="19" t="str">
        <f>IF($A203="","",SUMIFS('Stock OUT (Issue)'!$G$3:$G$302,'Stock OUT (Issue)'!$D$3:$D$302,$A203,'Stock OUT (Issue)'!$C$3:$C$302,"JOB-05"))</f>
        <v/>
      </c>
      <c r="I203" s="19" t="str">
        <f t="shared" si="1"/>
        <v/>
      </c>
    </row>
    <row r="204" ht="15.75" customHeight="1">
      <c r="A204" s="14" t="str">
        <f>IF('Item Master'!B204="","",'Item Master'!B204)</f>
        <v/>
      </c>
      <c r="B204" s="14" t="str">
        <f>IF($A204="","",'Item Master'!C204)</f>
        <v/>
      </c>
      <c r="C204" s="14" t="str">
        <f>IF($A204="","",'Item Master'!G204)</f>
        <v/>
      </c>
      <c r="D204" s="19" t="str">
        <f>IF($A204="","",SUMIFS('Stock OUT (Issue)'!$G$3:$G$302,'Stock OUT (Issue)'!$D$3:$D$302,$A204,'Stock OUT (Issue)'!$C$3:$C$302,"JOB-01"))</f>
        <v/>
      </c>
      <c r="E204" s="19" t="str">
        <f>IF($A204="","",SUMIFS('Stock OUT (Issue)'!$G$3:$G$302,'Stock OUT (Issue)'!$D$3:$D$302,$A204,'Stock OUT (Issue)'!$C$3:$C$302,"JOB-02"))</f>
        <v/>
      </c>
      <c r="F204" s="19" t="str">
        <f>IF($A204="","",SUMIFS('Stock OUT (Issue)'!$G$3:$G$302,'Stock OUT (Issue)'!$D$3:$D$302,$A204,'Stock OUT (Issue)'!$C$3:$C$302,"JOB-03"))</f>
        <v/>
      </c>
      <c r="G204" s="19" t="str">
        <f>IF($A204="","",SUMIFS('Stock OUT (Issue)'!$G$3:$G$302,'Stock OUT (Issue)'!$D$3:$D$302,$A204,'Stock OUT (Issue)'!$C$3:$C$302,"JOB-04"))</f>
        <v/>
      </c>
      <c r="H204" s="19" t="str">
        <f>IF($A204="","",SUMIFS('Stock OUT (Issue)'!$G$3:$G$302,'Stock OUT (Issue)'!$D$3:$D$302,$A204,'Stock OUT (Issue)'!$C$3:$C$302,"JOB-05"))</f>
        <v/>
      </c>
      <c r="I204" s="19" t="str">
        <f t="shared" si="1"/>
        <v/>
      </c>
    </row>
    <row r="205" ht="15.75" customHeight="1">
      <c r="A205" s="14" t="str">
        <f>IF('Item Master'!B205="","",'Item Master'!B205)</f>
        <v/>
      </c>
      <c r="B205" s="14" t="str">
        <f>IF($A205="","",'Item Master'!C205)</f>
        <v/>
      </c>
      <c r="C205" s="14" t="str">
        <f>IF($A205="","",'Item Master'!G205)</f>
        <v/>
      </c>
      <c r="D205" s="19" t="str">
        <f>IF($A205="","",SUMIFS('Stock OUT (Issue)'!$G$3:$G$302,'Stock OUT (Issue)'!$D$3:$D$302,$A205,'Stock OUT (Issue)'!$C$3:$C$302,"JOB-01"))</f>
        <v/>
      </c>
      <c r="E205" s="19" t="str">
        <f>IF($A205="","",SUMIFS('Stock OUT (Issue)'!$G$3:$G$302,'Stock OUT (Issue)'!$D$3:$D$302,$A205,'Stock OUT (Issue)'!$C$3:$C$302,"JOB-02"))</f>
        <v/>
      </c>
      <c r="F205" s="19" t="str">
        <f>IF($A205="","",SUMIFS('Stock OUT (Issue)'!$G$3:$G$302,'Stock OUT (Issue)'!$D$3:$D$302,$A205,'Stock OUT (Issue)'!$C$3:$C$302,"JOB-03"))</f>
        <v/>
      </c>
      <c r="G205" s="19" t="str">
        <f>IF($A205="","",SUMIFS('Stock OUT (Issue)'!$G$3:$G$302,'Stock OUT (Issue)'!$D$3:$D$302,$A205,'Stock OUT (Issue)'!$C$3:$C$302,"JOB-04"))</f>
        <v/>
      </c>
      <c r="H205" s="19" t="str">
        <f>IF($A205="","",SUMIFS('Stock OUT (Issue)'!$G$3:$G$302,'Stock OUT (Issue)'!$D$3:$D$302,$A205,'Stock OUT (Issue)'!$C$3:$C$302,"JOB-05"))</f>
        <v/>
      </c>
      <c r="I205" s="19" t="str">
        <f t="shared" si="1"/>
        <v/>
      </c>
    </row>
    <row r="206" ht="15.75" customHeight="1">
      <c r="A206" s="14" t="str">
        <f>IF('Item Master'!B206="","",'Item Master'!B206)</f>
        <v/>
      </c>
      <c r="B206" s="14" t="str">
        <f>IF($A206="","",'Item Master'!C206)</f>
        <v/>
      </c>
      <c r="C206" s="14" t="str">
        <f>IF($A206="","",'Item Master'!G206)</f>
        <v/>
      </c>
      <c r="D206" s="19" t="str">
        <f>IF($A206="","",SUMIFS('Stock OUT (Issue)'!$G$3:$G$302,'Stock OUT (Issue)'!$D$3:$D$302,$A206,'Stock OUT (Issue)'!$C$3:$C$302,"JOB-01"))</f>
        <v/>
      </c>
      <c r="E206" s="19" t="str">
        <f>IF($A206="","",SUMIFS('Stock OUT (Issue)'!$G$3:$G$302,'Stock OUT (Issue)'!$D$3:$D$302,$A206,'Stock OUT (Issue)'!$C$3:$C$302,"JOB-02"))</f>
        <v/>
      </c>
      <c r="F206" s="19" t="str">
        <f>IF($A206="","",SUMIFS('Stock OUT (Issue)'!$G$3:$G$302,'Stock OUT (Issue)'!$D$3:$D$302,$A206,'Stock OUT (Issue)'!$C$3:$C$302,"JOB-03"))</f>
        <v/>
      </c>
      <c r="G206" s="19" t="str">
        <f>IF($A206="","",SUMIFS('Stock OUT (Issue)'!$G$3:$G$302,'Stock OUT (Issue)'!$D$3:$D$302,$A206,'Stock OUT (Issue)'!$C$3:$C$302,"JOB-04"))</f>
        <v/>
      </c>
      <c r="H206" s="19" t="str">
        <f>IF($A206="","",SUMIFS('Stock OUT (Issue)'!$G$3:$G$302,'Stock OUT (Issue)'!$D$3:$D$302,$A206,'Stock OUT (Issue)'!$C$3:$C$302,"JOB-05"))</f>
        <v/>
      </c>
      <c r="I206" s="19" t="str">
        <f t="shared" si="1"/>
        <v/>
      </c>
    </row>
    <row r="207" ht="15.75" customHeight="1">
      <c r="A207" s="14" t="str">
        <f>IF('Item Master'!B207="","",'Item Master'!B207)</f>
        <v/>
      </c>
      <c r="B207" s="14" t="str">
        <f>IF($A207="","",'Item Master'!C207)</f>
        <v/>
      </c>
      <c r="C207" s="14" t="str">
        <f>IF($A207="","",'Item Master'!G207)</f>
        <v/>
      </c>
      <c r="D207" s="19" t="str">
        <f>IF($A207="","",SUMIFS('Stock OUT (Issue)'!$G$3:$G$302,'Stock OUT (Issue)'!$D$3:$D$302,$A207,'Stock OUT (Issue)'!$C$3:$C$302,"JOB-01"))</f>
        <v/>
      </c>
      <c r="E207" s="19" t="str">
        <f>IF($A207="","",SUMIFS('Stock OUT (Issue)'!$G$3:$G$302,'Stock OUT (Issue)'!$D$3:$D$302,$A207,'Stock OUT (Issue)'!$C$3:$C$302,"JOB-02"))</f>
        <v/>
      </c>
      <c r="F207" s="19" t="str">
        <f>IF($A207="","",SUMIFS('Stock OUT (Issue)'!$G$3:$G$302,'Stock OUT (Issue)'!$D$3:$D$302,$A207,'Stock OUT (Issue)'!$C$3:$C$302,"JOB-03"))</f>
        <v/>
      </c>
      <c r="G207" s="19" t="str">
        <f>IF($A207="","",SUMIFS('Stock OUT (Issue)'!$G$3:$G$302,'Stock OUT (Issue)'!$D$3:$D$302,$A207,'Stock OUT (Issue)'!$C$3:$C$302,"JOB-04"))</f>
        <v/>
      </c>
      <c r="H207" s="19" t="str">
        <f>IF($A207="","",SUMIFS('Stock OUT (Issue)'!$G$3:$G$302,'Stock OUT (Issue)'!$D$3:$D$302,$A207,'Stock OUT (Issue)'!$C$3:$C$302,"JOB-05"))</f>
        <v/>
      </c>
      <c r="I207" s="19" t="str">
        <f t="shared" si="1"/>
        <v/>
      </c>
    </row>
    <row r="208" ht="15.75" customHeight="1">
      <c r="A208" s="14" t="str">
        <f>IF('Item Master'!B208="","",'Item Master'!B208)</f>
        <v/>
      </c>
      <c r="B208" s="14" t="str">
        <f>IF($A208="","",'Item Master'!C208)</f>
        <v/>
      </c>
      <c r="C208" s="14" t="str">
        <f>IF($A208="","",'Item Master'!G208)</f>
        <v/>
      </c>
      <c r="D208" s="19" t="str">
        <f>IF($A208="","",SUMIFS('Stock OUT (Issue)'!$G$3:$G$302,'Stock OUT (Issue)'!$D$3:$D$302,$A208,'Stock OUT (Issue)'!$C$3:$C$302,"JOB-01"))</f>
        <v/>
      </c>
      <c r="E208" s="19" t="str">
        <f>IF($A208="","",SUMIFS('Stock OUT (Issue)'!$G$3:$G$302,'Stock OUT (Issue)'!$D$3:$D$302,$A208,'Stock OUT (Issue)'!$C$3:$C$302,"JOB-02"))</f>
        <v/>
      </c>
      <c r="F208" s="19" t="str">
        <f>IF($A208="","",SUMIFS('Stock OUT (Issue)'!$G$3:$G$302,'Stock OUT (Issue)'!$D$3:$D$302,$A208,'Stock OUT (Issue)'!$C$3:$C$302,"JOB-03"))</f>
        <v/>
      </c>
      <c r="G208" s="19" t="str">
        <f>IF($A208="","",SUMIFS('Stock OUT (Issue)'!$G$3:$G$302,'Stock OUT (Issue)'!$D$3:$D$302,$A208,'Stock OUT (Issue)'!$C$3:$C$302,"JOB-04"))</f>
        <v/>
      </c>
      <c r="H208" s="19" t="str">
        <f>IF($A208="","",SUMIFS('Stock OUT (Issue)'!$G$3:$G$302,'Stock OUT (Issue)'!$D$3:$D$302,$A208,'Stock OUT (Issue)'!$C$3:$C$302,"JOB-05"))</f>
        <v/>
      </c>
      <c r="I208" s="19" t="str">
        <f t="shared" si="1"/>
        <v/>
      </c>
    </row>
    <row r="209" ht="15.75" customHeight="1">
      <c r="A209" s="14" t="str">
        <f>IF('Item Master'!B209="","",'Item Master'!B209)</f>
        <v/>
      </c>
      <c r="B209" s="14" t="str">
        <f>IF($A209="","",'Item Master'!C209)</f>
        <v/>
      </c>
      <c r="C209" s="14" t="str">
        <f>IF($A209="","",'Item Master'!G209)</f>
        <v/>
      </c>
      <c r="D209" s="19" t="str">
        <f>IF($A209="","",SUMIFS('Stock OUT (Issue)'!$G$3:$G$302,'Stock OUT (Issue)'!$D$3:$D$302,$A209,'Stock OUT (Issue)'!$C$3:$C$302,"JOB-01"))</f>
        <v/>
      </c>
      <c r="E209" s="19" t="str">
        <f>IF($A209="","",SUMIFS('Stock OUT (Issue)'!$G$3:$G$302,'Stock OUT (Issue)'!$D$3:$D$302,$A209,'Stock OUT (Issue)'!$C$3:$C$302,"JOB-02"))</f>
        <v/>
      </c>
      <c r="F209" s="19" t="str">
        <f>IF($A209="","",SUMIFS('Stock OUT (Issue)'!$G$3:$G$302,'Stock OUT (Issue)'!$D$3:$D$302,$A209,'Stock OUT (Issue)'!$C$3:$C$302,"JOB-03"))</f>
        <v/>
      </c>
      <c r="G209" s="19" t="str">
        <f>IF($A209="","",SUMIFS('Stock OUT (Issue)'!$G$3:$G$302,'Stock OUT (Issue)'!$D$3:$D$302,$A209,'Stock OUT (Issue)'!$C$3:$C$302,"JOB-04"))</f>
        <v/>
      </c>
      <c r="H209" s="19" t="str">
        <f>IF($A209="","",SUMIFS('Stock OUT (Issue)'!$G$3:$G$302,'Stock OUT (Issue)'!$D$3:$D$302,$A209,'Stock OUT (Issue)'!$C$3:$C$302,"JOB-05"))</f>
        <v/>
      </c>
      <c r="I209" s="19" t="str">
        <f t="shared" si="1"/>
        <v/>
      </c>
    </row>
    <row r="210" ht="15.75" customHeight="1">
      <c r="A210" s="14" t="str">
        <f>IF('Item Master'!B210="","",'Item Master'!B210)</f>
        <v/>
      </c>
      <c r="B210" s="14" t="str">
        <f>IF($A210="","",'Item Master'!C210)</f>
        <v/>
      </c>
      <c r="C210" s="14" t="str">
        <f>IF($A210="","",'Item Master'!G210)</f>
        <v/>
      </c>
      <c r="D210" s="19" t="str">
        <f>IF($A210="","",SUMIFS('Stock OUT (Issue)'!$G$3:$G$302,'Stock OUT (Issue)'!$D$3:$D$302,$A210,'Stock OUT (Issue)'!$C$3:$C$302,"JOB-01"))</f>
        <v/>
      </c>
      <c r="E210" s="19" t="str">
        <f>IF($A210="","",SUMIFS('Stock OUT (Issue)'!$G$3:$G$302,'Stock OUT (Issue)'!$D$3:$D$302,$A210,'Stock OUT (Issue)'!$C$3:$C$302,"JOB-02"))</f>
        <v/>
      </c>
      <c r="F210" s="19" t="str">
        <f>IF($A210="","",SUMIFS('Stock OUT (Issue)'!$G$3:$G$302,'Stock OUT (Issue)'!$D$3:$D$302,$A210,'Stock OUT (Issue)'!$C$3:$C$302,"JOB-03"))</f>
        <v/>
      </c>
      <c r="G210" s="19" t="str">
        <f>IF($A210="","",SUMIFS('Stock OUT (Issue)'!$G$3:$G$302,'Stock OUT (Issue)'!$D$3:$D$302,$A210,'Stock OUT (Issue)'!$C$3:$C$302,"JOB-04"))</f>
        <v/>
      </c>
      <c r="H210" s="19" t="str">
        <f>IF($A210="","",SUMIFS('Stock OUT (Issue)'!$G$3:$G$302,'Stock OUT (Issue)'!$D$3:$D$302,$A210,'Stock OUT (Issue)'!$C$3:$C$302,"JOB-05"))</f>
        <v/>
      </c>
      <c r="I210" s="19" t="str">
        <f t="shared" si="1"/>
        <v/>
      </c>
    </row>
    <row r="211" ht="15.75" customHeight="1">
      <c r="A211" s="14" t="str">
        <f>IF('Item Master'!B211="","",'Item Master'!B211)</f>
        <v/>
      </c>
      <c r="B211" s="14" t="str">
        <f>IF($A211="","",'Item Master'!C211)</f>
        <v/>
      </c>
      <c r="C211" s="14" t="str">
        <f>IF($A211="","",'Item Master'!G211)</f>
        <v/>
      </c>
      <c r="D211" s="19" t="str">
        <f>IF($A211="","",SUMIFS('Stock OUT (Issue)'!$G$3:$G$302,'Stock OUT (Issue)'!$D$3:$D$302,$A211,'Stock OUT (Issue)'!$C$3:$C$302,"JOB-01"))</f>
        <v/>
      </c>
      <c r="E211" s="19" t="str">
        <f>IF($A211="","",SUMIFS('Stock OUT (Issue)'!$G$3:$G$302,'Stock OUT (Issue)'!$D$3:$D$302,$A211,'Stock OUT (Issue)'!$C$3:$C$302,"JOB-02"))</f>
        <v/>
      </c>
      <c r="F211" s="19" t="str">
        <f>IF($A211="","",SUMIFS('Stock OUT (Issue)'!$G$3:$G$302,'Stock OUT (Issue)'!$D$3:$D$302,$A211,'Stock OUT (Issue)'!$C$3:$C$302,"JOB-03"))</f>
        <v/>
      </c>
      <c r="G211" s="19" t="str">
        <f>IF($A211="","",SUMIFS('Stock OUT (Issue)'!$G$3:$G$302,'Stock OUT (Issue)'!$D$3:$D$302,$A211,'Stock OUT (Issue)'!$C$3:$C$302,"JOB-04"))</f>
        <v/>
      </c>
      <c r="H211" s="19" t="str">
        <f>IF($A211="","",SUMIFS('Stock OUT (Issue)'!$G$3:$G$302,'Stock OUT (Issue)'!$D$3:$D$302,$A211,'Stock OUT (Issue)'!$C$3:$C$302,"JOB-05"))</f>
        <v/>
      </c>
      <c r="I211" s="19" t="str">
        <f t="shared" si="1"/>
        <v/>
      </c>
    </row>
    <row r="212" ht="15.75" customHeight="1">
      <c r="A212" s="14" t="str">
        <f>IF('Item Master'!B212="","",'Item Master'!B212)</f>
        <v/>
      </c>
      <c r="B212" s="14" t="str">
        <f>IF($A212="","",'Item Master'!C212)</f>
        <v/>
      </c>
      <c r="C212" s="14" t="str">
        <f>IF($A212="","",'Item Master'!G212)</f>
        <v/>
      </c>
      <c r="D212" s="19" t="str">
        <f>IF($A212="","",SUMIFS('Stock OUT (Issue)'!$G$3:$G$302,'Stock OUT (Issue)'!$D$3:$D$302,$A212,'Stock OUT (Issue)'!$C$3:$C$302,"JOB-01"))</f>
        <v/>
      </c>
      <c r="E212" s="19" t="str">
        <f>IF($A212="","",SUMIFS('Stock OUT (Issue)'!$G$3:$G$302,'Stock OUT (Issue)'!$D$3:$D$302,$A212,'Stock OUT (Issue)'!$C$3:$C$302,"JOB-02"))</f>
        <v/>
      </c>
      <c r="F212" s="19" t="str">
        <f>IF($A212="","",SUMIFS('Stock OUT (Issue)'!$G$3:$G$302,'Stock OUT (Issue)'!$D$3:$D$302,$A212,'Stock OUT (Issue)'!$C$3:$C$302,"JOB-03"))</f>
        <v/>
      </c>
      <c r="G212" s="19" t="str">
        <f>IF($A212="","",SUMIFS('Stock OUT (Issue)'!$G$3:$G$302,'Stock OUT (Issue)'!$D$3:$D$302,$A212,'Stock OUT (Issue)'!$C$3:$C$302,"JOB-04"))</f>
        <v/>
      </c>
      <c r="H212" s="19" t="str">
        <f>IF($A212="","",SUMIFS('Stock OUT (Issue)'!$G$3:$G$302,'Stock OUT (Issue)'!$D$3:$D$302,$A212,'Stock OUT (Issue)'!$C$3:$C$302,"JOB-05"))</f>
        <v/>
      </c>
      <c r="I212" s="19" t="str">
        <f t="shared" si="1"/>
        <v/>
      </c>
    </row>
    <row r="213" ht="15.75" customHeight="1">
      <c r="A213" s="14" t="str">
        <f>IF('Item Master'!B213="","",'Item Master'!B213)</f>
        <v/>
      </c>
      <c r="B213" s="14" t="str">
        <f>IF($A213="","",'Item Master'!C213)</f>
        <v/>
      </c>
      <c r="C213" s="14" t="str">
        <f>IF($A213="","",'Item Master'!G213)</f>
        <v/>
      </c>
      <c r="D213" s="19" t="str">
        <f>IF($A213="","",SUMIFS('Stock OUT (Issue)'!$G$3:$G$302,'Stock OUT (Issue)'!$D$3:$D$302,$A213,'Stock OUT (Issue)'!$C$3:$C$302,"JOB-01"))</f>
        <v/>
      </c>
      <c r="E213" s="19" t="str">
        <f>IF($A213="","",SUMIFS('Stock OUT (Issue)'!$G$3:$G$302,'Stock OUT (Issue)'!$D$3:$D$302,$A213,'Stock OUT (Issue)'!$C$3:$C$302,"JOB-02"))</f>
        <v/>
      </c>
      <c r="F213" s="19" t="str">
        <f>IF($A213="","",SUMIFS('Stock OUT (Issue)'!$G$3:$G$302,'Stock OUT (Issue)'!$D$3:$D$302,$A213,'Stock OUT (Issue)'!$C$3:$C$302,"JOB-03"))</f>
        <v/>
      </c>
      <c r="G213" s="19" t="str">
        <f>IF($A213="","",SUMIFS('Stock OUT (Issue)'!$G$3:$G$302,'Stock OUT (Issue)'!$D$3:$D$302,$A213,'Stock OUT (Issue)'!$C$3:$C$302,"JOB-04"))</f>
        <v/>
      </c>
      <c r="H213" s="19" t="str">
        <f>IF($A213="","",SUMIFS('Stock OUT (Issue)'!$G$3:$G$302,'Stock OUT (Issue)'!$D$3:$D$302,$A213,'Stock OUT (Issue)'!$C$3:$C$302,"JOB-05"))</f>
        <v/>
      </c>
      <c r="I213" s="19" t="str">
        <f t="shared" si="1"/>
        <v/>
      </c>
    </row>
    <row r="214" ht="15.75" customHeight="1">
      <c r="A214" s="14" t="str">
        <f>IF('Item Master'!B214="","",'Item Master'!B214)</f>
        <v/>
      </c>
      <c r="B214" s="14" t="str">
        <f>IF($A214="","",'Item Master'!C214)</f>
        <v/>
      </c>
      <c r="C214" s="14" t="str">
        <f>IF($A214="","",'Item Master'!G214)</f>
        <v/>
      </c>
      <c r="D214" s="19" t="str">
        <f>IF($A214="","",SUMIFS('Stock OUT (Issue)'!$G$3:$G$302,'Stock OUT (Issue)'!$D$3:$D$302,$A214,'Stock OUT (Issue)'!$C$3:$C$302,"JOB-01"))</f>
        <v/>
      </c>
      <c r="E214" s="19" t="str">
        <f>IF($A214="","",SUMIFS('Stock OUT (Issue)'!$G$3:$G$302,'Stock OUT (Issue)'!$D$3:$D$302,$A214,'Stock OUT (Issue)'!$C$3:$C$302,"JOB-02"))</f>
        <v/>
      </c>
      <c r="F214" s="19" t="str">
        <f>IF($A214="","",SUMIFS('Stock OUT (Issue)'!$G$3:$G$302,'Stock OUT (Issue)'!$D$3:$D$302,$A214,'Stock OUT (Issue)'!$C$3:$C$302,"JOB-03"))</f>
        <v/>
      </c>
      <c r="G214" s="19" t="str">
        <f>IF($A214="","",SUMIFS('Stock OUT (Issue)'!$G$3:$G$302,'Stock OUT (Issue)'!$D$3:$D$302,$A214,'Stock OUT (Issue)'!$C$3:$C$302,"JOB-04"))</f>
        <v/>
      </c>
      <c r="H214" s="19" t="str">
        <f>IF($A214="","",SUMIFS('Stock OUT (Issue)'!$G$3:$G$302,'Stock OUT (Issue)'!$D$3:$D$302,$A214,'Stock OUT (Issue)'!$C$3:$C$302,"JOB-05"))</f>
        <v/>
      </c>
      <c r="I214" s="19" t="str">
        <f t="shared" si="1"/>
        <v/>
      </c>
    </row>
    <row r="215" ht="15.75" customHeight="1">
      <c r="A215" s="14" t="str">
        <f>IF('Item Master'!B215="","",'Item Master'!B215)</f>
        <v/>
      </c>
      <c r="B215" s="14" t="str">
        <f>IF($A215="","",'Item Master'!C215)</f>
        <v/>
      </c>
      <c r="C215" s="14" t="str">
        <f>IF($A215="","",'Item Master'!G215)</f>
        <v/>
      </c>
      <c r="D215" s="19" t="str">
        <f>IF($A215="","",SUMIFS('Stock OUT (Issue)'!$G$3:$G$302,'Stock OUT (Issue)'!$D$3:$D$302,$A215,'Stock OUT (Issue)'!$C$3:$C$302,"JOB-01"))</f>
        <v/>
      </c>
      <c r="E215" s="19" t="str">
        <f>IF($A215="","",SUMIFS('Stock OUT (Issue)'!$G$3:$G$302,'Stock OUT (Issue)'!$D$3:$D$302,$A215,'Stock OUT (Issue)'!$C$3:$C$302,"JOB-02"))</f>
        <v/>
      </c>
      <c r="F215" s="19" t="str">
        <f>IF($A215="","",SUMIFS('Stock OUT (Issue)'!$G$3:$G$302,'Stock OUT (Issue)'!$D$3:$D$302,$A215,'Stock OUT (Issue)'!$C$3:$C$302,"JOB-03"))</f>
        <v/>
      </c>
      <c r="G215" s="19" t="str">
        <f>IF($A215="","",SUMIFS('Stock OUT (Issue)'!$G$3:$G$302,'Stock OUT (Issue)'!$D$3:$D$302,$A215,'Stock OUT (Issue)'!$C$3:$C$302,"JOB-04"))</f>
        <v/>
      </c>
      <c r="H215" s="19" t="str">
        <f>IF($A215="","",SUMIFS('Stock OUT (Issue)'!$G$3:$G$302,'Stock OUT (Issue)'!$D$3:$D$302,$A215,'Stock OUT (Issue)'!$C$3:$C$302,"JOB-05"))</f>
        <v/>
      </c>
      <c r="I215" s="19" t="str">
        <f t="shared" si="1"/>
        <v/>
      </c>
    </row>
    <row r="216" ht="15.75" customHeight="1">
      <c r="A216" s="14" t="str">
        <f>IF('Item Master'!B216="","",'Item Master'!B216)</f>
        <v/>
      </c>
      <c r="B216" s="14" t="str">
        <f>IF($A216="","",'Item Master'!C216)</f>
        <v/>
      </c>
      <c r="C216" s="14" t="str">
        <f>IF($A216="","",'Item Master'!G216)</f>
        <v/>
      </c>
      <c r="D216" s="19" t="str">
        <f>IF($A216="","",SUMIFS('Stock OUT (Issue)'!$G$3:$G$302,'Stock OUT (Issue)'!$D$3:$D$302,$A216,'Stock OUT (Issue)'!$C$3:$C$302,"JOB-01"))</f>
        <v/>
      </c>
      <c r="E216" s="19" t="str">
        <f>IF($A216="","",SUMIFS('Stock OUT (Issue)'!$G$3:$G$302,'Stock OUT (Issue)'!$D$3:$D$302,$A216,'Stock OUT (Issue)'!$C$3:$C$302,"JOB-02"))</f>
        <v/>
      </c>
      <c r="F216" s="19" t="str">
        <f>IF($A216="","",SUMIFS('Stock OUT (Issue)'!$G$3:$G$302,'Stock OUT (Issue)'!$D$3:$D$302,$A216,'Stock OUT (Issue)'!$C$3:$C$302,"JOB-03"))</f>
        <v/>
      </c>
      <c r="G216" s="19" t="str">
        <f>IF($A216="","",SUMIFS('Stock OUT (Issue)'!$G$3:$G$302,'Stock OUT (Issue)'!$D$3:$D$302,$A216,'Stock OUT (Issue)'!$C$3:$C$302,"JOB-04"))</f>
        <v/>
      </c>
      <c r="H216" s="19" t="str">
        <f>IF($A216="","",SUMIFS('Stock OUT (Issue)'!$G$3:$G$302,'Stock OUT (Issue)'!$D$3:$D$302,$A216,'Stock OUT (Issue)'!$C$3:$C$302,"JOB-05"))</f>
        <v/>
      </c>
      <c r="I216" s="19" t="str">
        <f t="shared" si="1"/>
        <v/>
      </c>
    </row>
    <row r="217" ht="15.75" customHeight="1">
      <c r="A217" s="14" t="str">
        <f>IF('Item Master'!B217="","",'Item Master'!B217)</f>
        <v/>
      </c>
      <c r="B217" s="14" t="str">
        <f>IF($A217="","",'Item Master'!C217)</f>
        <v/>
      </c>
      <c r="C217" s="14" t="str">
        <f>IF($A217="","",'Item Master'!G217)</f>
        <v/>
      </c>
      <c r="D217" s="19" t="str">
        <f>IF($A217="","",SUMIFS('Stock OUT (Issue)'!$G$3:$G$302,'Stock OUT (Issue)'!$D$3:$D$302,$A217,'Stock OUT (Issue)'!$C$3:$C$302,"JOB-01"))</f>
        <v/>
      </c>
      <c r="E217" s="19" t="str">
        <f>IF($A217="","",SUMIFS('Stock OUT (Issue)'!$G$3:$G$302,'Stock OUT (Issue)'!$D$3:$D$302,$A217,'Stock OUT (Issue)'!$C$3:$C$302,"JOB-02"))</f>
        <v/>
      </c>
      <c r="F217" s="19" t="str">
        <f>IF($A217="","",SUMIFS('Stock OUT (Issue)'!$G$3:$G$302,'Stock OUT (Issue)'!$D$3:$D$302,$A217,'Stock OUT (Issue)'!$C$3:$C$302,"JOB-03"))</f>
        <v/>
      </c>
      <c r="G217" s="19" t="str">
        <f>IF($A217="","",SUMIFS('Stock OUT (Issue)'!$G$3:$G$302,'Stock OUT (Issue)'!$D$3:$D$302,$A217,'Stock OUT (Issue)'!$C$3:$C$302,"JOB-04"))</f>
        <v/>
      </c>
      <c r="H217" s="19" t="str">
        <f>IF($A217="","",SUMIFS('Stock OUT (Issue)'!$G$3:$G$302,'Stock OUT (Issue)'!$D$3:$D$302,$A217,'Stock OUT (Issue)'!$C$3:$C$302,"JOB-05"))</f>
        <v/>
      </c>
      <c r="I217" s="19" t="str">
        <f t="shared" si="1"/>
        <v/>
      </c>
    </row>
    <row r="218" ht="15.75" customHeight="1">
      <c r="A218" s="14" t="str">
        <f>IF('Item Master'!B218="","",'Item Master'!B218)</f>
        <v/>
      </c>
      <c r="B218" s="14" t="str">
        <f>IF($A218="","",'Item Master'!C218)</f>
        <v/>
      </c>
      <c r="C218" s="14" t="str">
        <f>IF($A218="","",'Item Master'!G218)</f>
        <v/>
      </c>
      <c r="D218" s="19" t="str">
        <f>IF($A218="","",SUMIFS('Stock OUT (Issue)'!$G$3:$G$302,'Stock OUT (Issue)'!$D$3:$D$302,$A218,'Stock OUT (Issue)'!$C$3:$C$302,"JOB-01"))</f>
        <v/>
      </c>
      <c r="E218" s="19" t="str">
        <f>IF($A218="","",SUMIFS('Stock OUT (Issue)'!$G$3:$G$302,'Stock OUT (Issue)'!$D$3:$D$302,$A218,'Stock OUT (Issue)'!$C$3:$C$302,"JOB-02"))</f>
        <v/>
      </c>
      <c r="F218" s="19" t="str">
        <f>IF($A218="","",SUMIFS('Stock OUT (Issue)'!$G$3:$G$302,'Stock OUT (Issue)'!$D$3:$D$302,$A218,'Stock OUT (Issue)'!$C$3:$C$302,"JOB-03"))</f>
        <v/>
      </c>
      <c r="G218" s="19" t="str">
        <f>IF($A218="","",SUMIFS('Stock OUT (Issue)'!$G$3:$G$302,'Stock OUT (Issue)'!$D$3:$D$302,$A218,'Stock OUT (Issue)'!$C$3:$C$302,"JOB-04"))</f>
        <v/>
      </c>
      <c r="H218" s="19" t="str">
        <f>IF($A218="","",SUMIFS('Stock OUT (Issue)'!$G$3:$G$302,'Stock OUT (Issue)'!$D$3:$D$302,$A218,'Stock OUT (Issue)'!$C$3:$C$302,"JOB-05"))</f>
        <v/>
      </c>
      <c r="I218" s="19" t="str">
        <f t="shared" si="1"/>
        <v/>
      </c>
    </row>
    <row r="219" ht="15.75" customHeight="1">
      <c r="A219" s="14" t="str">
        <f>IF('Item Master'!B219="","",'Item Master'!B219)</f>
        <v/>
      </c>
      <c r="B219" s="14" t="str">
        <f>IF($A219="","",'Item Master'!C219)</f>
        <v/>
      </c>
      <c r="C219" s="14" t="str">
        <f>IF($A219="","",'Item Master'!G219)</f>
        <v/>
      </c>
      <c r="D219" s="19" t="str">
        <f>IF($A219="","",SUMIFS('Stock OUT (Issue)'!$G$3:$G$302,'Stock OUT (Issue)'!$D$3:$D$302,$A219,'Stock OUT (Issue)'!$C$3:$C$302,"JOB-01"))</f>
        <v/>
      </c>
      <c r="E219" s="19" t="str">
        <f>IF($A219="","",SUMIFS('Stock OUT (Issue)'!$G$3:$G$302,'Stock OUT (Issue)'!$D$3:$D$302,$A219,'Stock OUT (Issue)'!$C$3:$C$302,"JOB-02"))</f>
        <v/>
      </c>
      <c r="F219" s="19" t="str">
        <f>IF($A219="","",SUMIFS('Stock OUT (Issue)'!$G$3:$G$302,'Stock OUT (Issue)'!$D$3:$D$302,$A219,'Stock OUT (Issue)'!$C$3:$C$302,"JOB-03"))</f>
        <v/>
      </c>
      <c r="G219" s="19" t="str">
        <f>IF($A219="","",SUMIFS('Stock OUT (Issue)'!$G$3:$G$302,'Stock OUT (Issue)'!$D$3:$D$302,$A219,'Stock OUT (Issue)'!$C$3:$C$302,"JOB-04"))</f>
        <v/>
      </c>
      <c r="H219" s="19" t="str">
        <f>IF($A219="","",SUMIFS('Stock OUT (Issue)'!$G$3:$G$302,'Stock OUT (Issue)'!$D$3:$D$302,$A219,'Stock OUT (Issue)'!$C$3:$C$302,"JOB-05"))</f>
        <v/>
      </c>
      <c r="I219" s="19" t="str">
        <f t="shared" si="1"/>
        <v/>
      </c>
    </row>
    <row r="220" ht="15.75" customHeight="1">
      <c r="A220" s="14" t="str">
        <f>IF('Item Master'!B220="","",'Item Master'!B220)</f>
        <v/>
      </c>
      <c r="B220" s="14" t="str">
        <f>IF($A220="","",'Item Master'!C220)</f>
        <v/>
      </c>
      <c r="C220" s="14" t="str">
        <f>IF($A220="","",'Item Master'!G220)</f>
        <v/>
      </c>
      <c r="D220" s="19" t="str">
        <f>IF($A220="","",SUMIFS('Stock OUT (Issue)'!$G$3:$G$302,'Stock OUT (Issue)'!$D$3:$D$302,$A220,'Stock OUT (Issue)'!$C$3:$C$302,"JOB-01"))</f>
        <v/>
      </c>
      <c r="E220" s="19" t="str">
        <f>IF($A220="","",SUMIFS('Stock OUT (Issue)'!$G$3:$G$302,'Stock OUT (Issue)'!$D$3:$D$302,$A220,'Stock OUT (Issue)'!$C$3:$C$302,"JOB-02"))</f>
        <v/>
      </c>
      <c r="F220" s="19" t="str">
        <f>IF($A220="","",SUMIFS('Stock OUT (Issue)'!$G$3:$G$302,'Stock OUT (Issue)'!$D$3:$D$302,$A220,'Stock OUT (Issue)'!$C$3:$C$302,"JOB-03"))</f>
        <v/>
      </c>
      <c r="G220" s="19" t="str">
        <f>IF($A220="","",SUMIFS('Stock OUT (Issue)'!$G$3:$G$302,'Stock OUT (Issue)'!$D$3:$D$302,$A220,'Stock OUT (Issue)'!$C$3:$C$302,"JOB-04"))</f>
        <v/>
      </c>
      <c r="H220" s="19" t="str">
        <f>IF($A220="","",SUMIFS('Stock OUT (Issue)'!$G$3:$G$302,'Stock OUT (Issue)'!$D$3:$D$302,$A220,'Stock OUT (Issue)'!$C$3:$C$302,"JOB-05"))</f>
        <v/>
      </c>
      <c r="I220" s="19" t="str">
        <f t="shared" si="1"/>
        <v/>
      </c>
    </row>
    <row r="221" ht="15.75" customHeight="1">
      <c r="A221" s="14" t="str">
        <f>IF('Item Master'!B221="","",'Item Master'!B221)</f>
        <v/>
      </c>
      <c r="B221" s="14" t="str">
        <f>IF($A221="","",'Item Master'!C221)</f>
        <v/>
      </c>
      <c r="C221" s="14" t="str">
        <f>IF($A221="","",'Item Master'!G221)</f>
        <v/>
      </c>
      <c r="D221" s="19" t="str">
        <f>IF($A221="","",SUMIFS('Stock OUT (Issue)'!$G$3:$G$302,'Stock OUT (Issue)'!$D$3:$D$302,$A221,'Stock OUT (Issue)'!$C$3:$C$302,"JOB-01"))</f>
        <v/>
      </c>
      <c r="E221" s="19" t="str">
        <f>IF($A221="","",SUMIFS('Stock OUT (Issue)'!$G$3:$G$302,'Stock OUT (Issue)'!$D$3:$D$302,$A221,'Stock OUT (Issue)'!$C$3:$C$302,"JOB-02"))</f>
        <v/>
      </c>
      <c r="F221" s="19" t="str">
        <f>IF($A221="","",SUMIFS('Stock OUT (Issue)'!$G$3:$G$302,'Stock OUT (Issue)'!$D$3:$D$302,$A221,'Stock OUT (Issue)'!$C$3:$C$302,"JOB-03"))</f>
        <v/>
      </c>
      <c r="G221" s="19" t="str">
        <f>IF($A221="","",SUMIFS('Stock OUT (Issue)'!$G$3:$G$302,'Stock OUT (Issue)'!$D$3:$D$302,$A221,'Stock OUT (Issue)'!$C$3:$C$302,"JOB-04"))</f>
        <v/>
      </c>
      <c r="H221" s="19" t="str">
        <f>IF($A221="","",SUMIFS('Stock OUT (Issue)'!$G$3:$G$302,'Stock OUT (Issue)'!$D$3:$D$302,$A221,'Stock OUT (Issue)'!$C$3:$C$302,"JOB-05"))</f>
        <v/>
      </c>
      <c r="I221" s="19" t="str">
        <f t="shared" si="1"/>
        <v/>
      </c>
    </row>
    <row r="222" ht="15.75" customHeight="1">
      <c r="A222" s="14" t="str">
        <f>IF('Item Master'!B222="","",'Item Master'!B222)</f>
        <v/>
      </c>
      <c r="B222" s="14" t="str">
        <f>IF($A222="","",'Item Master'!C222)</f>
        <v/>
      </c>
      <c r="C222" s="14" t="str">
        <f>IF($A222="","",'Item Master'!G222)</f>
        <v/>
      </c>
      <c r="D222" s="19" t="str">
        <f>IF($A222="","",SUMIFS('Stock OUT (Issue)'!$G$3:$G$302,'Stock OUT (Issue)'!$D$3:$D$302,$A222,'Stock OUT (Issue)'!$C$3:$C$302,"JOB-01"))</f>
        <v/>
      </c>
      <c r="E222" s="19" t="str">
        <f>IF($A222="","",SUMIFS('Stock OUT (Issue)'!$G$3:$G$302,'Stock OUT (Issue)'!$D$3:$D$302,$A222,'Stock OUT (Issue)'!$C$3:$C$302,"JOB-02"))</f>
        <v/>
      </c>
      <c r="F222" s="19" t="str">
        <f>IF($A222="","",SUMIFS('Stock OUT (Issue)'!$G$3:$G$302,'Stock OUT (Issue)'!$D$3:$D$302,$A222,'Stock OUT (Issue)'!$C$3:$C$302,"JOB-03"))</f>
        <v/>
      </c>
      <c r="G222" s="19" t="str">
        <f>IF($A222="","",SUMIFS('Stock OUT (Issue)'!$G$3:$G$302,'Stock OUT (Issue)'!$D$3:$D$302,$A222,'Stock OUT (Issue)'!$C$3:$C$302,"JOB-04"))</f>
        <v/>
      </c>
      <c r="H222" s="19" t="str">
        <f>IF($A222="","",SUMIFS('Stock OUT (Issue)'!$G$3:$G$302,'Stock OUT (Issue)'!$D$3:$D$302,$A222,'Stock OUT (Issue)'!$C$3:$C$302,"JOB-05"))</f>
        <v/>
      </c>
      <c r="I222" s="19" t="str">
        <f t="shared" si="1"/>
        <v/>
      </c>
    </row>
    <row r="223" ht="15.75" customHeight="1">
      <c r="A223" s="14" t="str">
        <f>IF('Item Master'!B223="","",'Item Master'!B223)</f>
        <v/>
      </c>
      <c r="B223" s="14" t="str">
        <f>IF($A223="","",'Item Master'!C223)</f>
        <v/>
      </c>
      <c r="C223" s="14" t="str">
        <f>IF($A223="","",'Item Master'!G223)</f>
        <v/>
      </c>
      <c r="D223" s="19" t="str">
        <f>IF($A223="","",SUMIFS('Stock OUT (Issue)'!$G$3:$G$302,'Stock OUT (Issue)'!$D$3:$D$302,$A223,'Stock OUT (Issue)'!$C$3:$C$302,"JOB-01"))</f>
        <v/>
      </c>
      <c r="E223" s="19" t="str">
        <f>IF($A223="","",SUMIFS('Stock OUT (Issue)'!$G$3:$G$302,'Stock OUT (Issue)'!$D$3:$D$302,$A223,'Stock OUT (Issue)'!$C$3:$C$302,"JOB-02"))</f>
        <v/>
      </c>
      <c r="F223" s="19" t="str">
        <f>IF($A223="","",SUMIFS('Stock OUT (Issue)'!$G$3:$G$302,'Stock OUT (Issue)'!$D$3:$D$302,$A223,'Stock OUT (Issue)'!$C$3:$C$302,"JOB-03"))</f>
        <v/>
      </c>
      <c r="G223" s="19" t="str">
        <f>IF($A223="","",SUMIFS('Stock OUT (Issue)'!$G$3:$G$302,'Stock OUT (Issue)'!$D$3:$D$302,$A223,'Stock OUT (Issue)'!$C$3:$C$302,"JOB-04"))</f>
        <v/>
      </c>
      <c r="H223" s="19" t="str">
        <f>IF($A223="","",SUMIFS('Stock OUT (Issue)'!$G$3:$G$302,'Stock OUT (Issue)'!$D$3:$D$302,$A223,'Stock OUT (Issue)'!$C$3:$C$302,"JOB-05"))</f>
        <v/>
      </c>
      <c r="I223" s="19" t="str">
        <f t="shared" si="1"/>
        <v/>
      </c>
    </row>
    <row r="224" ht="15.75" customHeight="1">
      <c r="A224" s="14" t="str">
        <f>IF('Item Master'!B224="","",'Item Master'!B224)</f>
        <v/>
      </c>
      <c r="B224" s="14" t="str">
        <f>IF($A224="","",'Item Master'!C224)</f>
        <v/>
      </c>
      <c r="C224" s="14" t="str">
        <f>IF($A224="","",'Item Master'!G224)</f>
        <v/>
      </c>
      <c r="D224" s="19" t="str">
        <f>IF($A224="","",SUMIFS('Stock OUT (Issue)'!$G$3:$G$302,'Stock OUT (Issue)'!$D$3:$D$302,$A224,'Stock OUT (Issue)'!$C$3:$C$302,"JOB-01"))</f>
        <v/>
      </c>
      <c r="E224" s="19" t="str">
        <f>IF($A224="","",SUMIFS('Stock OUT (Issue)'!$G$3:$G$302,'Stock OUT (Issue)'!$D$3:$D$302,$A224,'Stock OUT (Issue)'!$C$3:$C$302,"JOB-02"))</f>
        <v/>
      </c>
      <c r="F224" s="19" t="str">
        <f>IF($A224="","",SUMIFS('Stock OUT (Issue)'!$G$3:$G$302,'Stock OUT (Issue)'!$D$3:$D$302,$A224,'Stock OUT (Issue)'!$C$3:$C$302,"JOB-03"))</f>
        <v/>
      </c>
      <c r="G224" s="19" t="str">
        <f>IF($A224="","",SUMIFS('Stock OUT (Issue)'!$G$3:$G$302,'Stock OUT (Issue)'!$D$3:$D$302,$A224,'Stock OUT (Issue)'!$C$3:$C$302,"JOB-04"))</f>
        <v/>
      </c>
      <c r="H224" s="19" t="str">
        <f>IF($A224="","",SUMIFS('Stock OUT (Issue)'!$G$3:$G$302,'Stock OUT (Issue)'!$D$3:$D$302,$A224,'Stock OUT (Issue)'!$C$3:$C$302,"JOB-05"))</f>
        <v/>
      </c>
      <c r="I224" s="19" t="str">
        <f t="shared" si="1"/>
        <v/>
      </c>
    </row>
    <row r="225" ht="15.75" customHeight="1">
      <c r="A225" s="14" t="str">
        <f>IF('Item Master'!B225="","",'Item Master'!B225)</f>
        <v/>
      </c>
      <c r="B225" s="14" t="str">
        <f>IF($A225="","",'Item Master'!C225)</f>
        <v/>
      </c>
      <c r="C225" s="14" t="str">
        <f>IF($A225="","",'Item Master'!G225)</f>
        <v/>
      </c>
      <c r="D225" s="19" t="str">
        <f>IF($A225="","",SUMIFS('Stock OUT (Issue)'!$G$3:$G$302,'Stock OUT (Issue)'!$D$3:$D$302,$A225,'Stock OUT (Issue)'!$C$3:$C$302,"JOB-01"))</f>
        <v/>
      </c>
      <c r="E225" s="19" t="str">
        <f>IF($A225="","",SUMIFS('Stock OUT (Issue)'!$G$3:$G$302,'Stock OUT (Issue)'!$D$3:$D$302,$A225,'Stock OUT (Issue)'!$C$3:$C$302,"JOB-02"))</f>
        <v/>
      </c>
      <c r="F225" s="19" t="str">
        <f>IF($A225="","",SUMIFS('Stock OUT (Issue)'!$G$3:$G$302,'Stock OUT (Issue)'!$D$3:$D$302,$A225,'Stock OUT (Issue)'!$C$3:$C$302,"JOB-03"))</f>
        <v/>
      </c>
      <c r="G225" s="19" t="str">
        <f>IF($A225="","",SUMIFS('Stock OUT (Issue)'!$G$3:$G$302,'Stock OUT (Issue)'!$D$3:$D$302,$A225,'Stock OUT (Issue)'!$C$3:$C$302,"JOB-04"))</f>
        <v/>
      </c>
      <c r="H225" s="19" t="str">
        <f>IF($A225="","",SUMIFS('Stock OUT (Issue)'!$G$3:$G$302,'Stock OUT (Issue)'!$D$3:$D$302,$A225,'Stock OUT (Issue)'!$C$3:$C$302,"JOB-05"))</f>
        <v/>
      </c>
      <c r="I225" s="19" t="str">
        <f t="shared" si="1"/>
        <v/>
      </c>
    </row>
    <row r="226" ht="15.75" customHeight="1">
      <c r="A226" s="14" t="str">
        <f>IF('Item Master'!B226="","",'Item Master'!B226)</f>
        <v/>
      </c>
      <c r="B226" s="14" t="str">
        <f>IF($A226="","",'Item Master'!C226)</f>
        <v/>
      </c>
      <c r="C226" s="14" t="str">
        <f>IF($A226="","",'Item Master'!G226)</f>
        <v/>
      </c>
      <c r="D226" s="19" t="str">
        <f>IF($A226="","",SUMIFS('Stock OUT (Issue)'!$G$3:$G$302,'Stock OUT (Issue)'!$D$3:$D$302,$A226,'Stock OUT (Issue)'!$C$3:$C$302,"JOB-01"))</f>
        <v/>
      </c>
      <c r="E226" s="19" t="str">
        <f>IF($A226="","",SUMIFS('Stock OUT (Issue)'!$G$3:$G$302,'Stock OUT (Issue)'!$D$3:$D$302,$A226,'Stock OUT (Issue)'!$C$3:$C$302,"JOB-02"))</f>
        <v/>
      </c>
      <c r="F226" s="19" t="str">
        <f>IF($A226="","",SUMIFS('Stock OUT (Issue)'!$G$3:$G$302,'Stock OUT (Issue)'!$D$3:$D$302,$A226,'Stock OUT (Issue)'!$C$3:$C$302,"JOB-03"))</f>
        <v/>
      </c>
      <c r="G226" s="19" t="str">
        <f>IF($A226="","",SUMIFS('Stock OUT (Issue)'!$G$3:$G$302,'Stock OUT (Issue)'!$D$3:$D$302,$A226,'Stock OUT (Issue)'!$C$3:$C$302,"JOB-04"))</f>
        <v/>
      </c>
      <c r="H226" s="19" t="str">
        <f>IF($A226="","",SUMIFS('Stock OUT (Issue)'!$G$3:$G$302,'Stock OUT (Issue)'!$D$3:$D$302,$A226,'Stock OUT (Issue)'!$C$3:$C$302,"JOB-05"))</f>
        <v/>
      </c>
      <c r="I226" s="19" t="str">
        <f t="shared" si="1"/>
        <v/>
      </c>
    </row>
    <row r="227" ht="15.75" customHeight="1">
      <c r="A227" s="14" t="str">
        <f>IF('Item Master'!B227="","",'Item Master'!B227)</f>
        <v/>
      </c>
      <c r="B227" s="14" t="str">
        <f>IF($A227="","",'Item Master'!C227)</f>
        <v/>
      </c>
      <c r="C227" s="14" t="str">
        <f>IF($A227="","",'Item Master'!G227)</f>
        <v/>
      </c>
      <c r="D227" s="19" t="str">
        <f>IF($A227="","",SUMIFS('Stock OUT (Issue)'!$G$3:$G$302,'Stock OUT (Issue)'!$D$3:$D$302,$A227,'Stock OUT (Issue)'!$C$3:$C$302,"JOB-01"))</f>
        <v/>
      </c>
      <c r="E227" s="19" t="str">
        <f>IF($A227="","",SUMIFS('Stock OUT (Issue)'!$G$3:$G$302,'Stock OUT (Issue)'!$D$3:$D$302,$A227,'Stock OUT (Issue)'!$C$3:$C$302,"JOB-02"))</f>
        <v/>
      </c>
      <c r="F227" s="19" t="str">
        <f>IF($A227="","",SUMIFS('Stock OUT (Issue)'!$G$3:$G$302,'Stock OUT (Issue)'!$D$3:$D$302,$A227,'Stock OUT (Issue)'!$C$3:$C$302,"JOB-03"))</f>
        <v/>
      </c>
      <c r="G227" s="19" t="str">
        <f>IF($A227="","",SUMIFS('Stock OUT (Issue)'!$G$3:$G$302,'Stock OUT (Issue)'!$D$3:$D$302,$A227,'Stock OUT (Issue)'!$C$3:$C$302,"JOB-04"))</f>
        <v/>
      </c>
      <c r="H227" s="19" t="str">
        <f>IF($A227="","",SUMIFS('Stock OUT (Issue)'!$G$3:$G$302,'Stock OUT (Issue)'!$D$3:$D$302,$A227,'Stock OUT (Issue)'!$C$3:$C$302,"JOB-05"))</f>
        <v/>
      </c>
      <c r="I227" s="19" t="str">
        <f t="shared" si="1"/>
        <v/>
      </c>
    </row>
    <row r="228" ht="15.75" customHeight="1">
      <c r="A228" s="14" t="str">
        <f>IF('Item Master'!B228="","",'Item Master'!B228)</f>
        <v/>
      </c>
      <c r="B228" s="14" t="str">
        <f>IF($A228="","",'Item Master'!C228)</f>
        <v/>
      </c>
      <c r="C228" s="14" t="str">
        <f>IF($A228="","",'Item Master'!G228)</f>
        <v/>
      </c>
      <c r="D228" s="19" t="str">
        <f>IF($A228="","",SUMIFS('Stock OUT (Issue)'!$G$3:$G$302,'Stock OUT (Issue)'!$D$3:$D$302,$A228,'Stock OUT (Issue)'!$C$3:$C$302,"JOB-01"))</f>
        <v/>
      </c>
      <c r="E228" s="19" t="str">
        <f>IF($A228="","",SUMIFS('Stock OUT (Issue)'!$G$3:$G$302,'Stock OUT (Issue)'!$D$3:$D$302,$A228,'Stock OUT (Issue)'!$C$3:$C$302,"JOB-02"))</f>
        <v/>
      </c>
      <c r="F228" s="19" t="str">
        <f>IF($A228="","",SUMIFS('Stock OUT (Issue)'!$G$3:$G$302,'Stock OUT (Issue)'!$D$3:$D$302,$A228,'Stock OUT (Issue)'!$C$3:$C$302,"JOB-03"))</f>
        <v/>
      </c>
      <c r="G228" s="19" t="str">
        <f>IF($A228="","",SUMIFS('Stock OUT (Issue)'!$G$3:$G$302,'Stock OUT (Issue)'!$D$3:$D$302,$A228,'Stock OUT (Issue)'!$C$3:$C$302,"JOB-04"))</f>
        <v/>
      </c>
      <c r="H228" s="19" t="str">
        <f>IF($A228="","",SUMIFS('Stock OUT (Issue)'!$G$3:$G$302,'Stock OUT (Issue)'!$D$3:$D$302,$A228,'Stock OUT (Issue)'!$C$3:$C$302,"JOB-05"))</f>
        <v/>
      </c>
      <c r="I228" s="19" t="str">
        <f t="shared" si="1"/>
        <v/>
      </c>
    </row>
    <row r="229" ht="15.75" customHeight="1">
      <c r="A229" s="14" t="str">
        <f>IF('Item Master'!B229="","",'Item Master'!B229)</f>
        <v/>
      </c>
      <c r="B229" s="14" t="str">
        <f>IF($A229="","",'Item Master'!C229)</f>
        <v/>
      </c>
      <c r="C229" s="14" t="str">
        <f>IF($A229="","",'Item Master'!G229)</f>
        <v/>
      </c>
      <c r="D229" s="19" t="str">
        <f>IF($A229="","",SUMIFS('Stock OUT (Issue)'!$G$3:$G$302,'Stock OUT (Issue)'!$D$3:$D$302,$A229,'Stock OUT (Issue)'!$C$3:$C$302,"JOB-01"))</f>
        <v/>
      </c>
      <c r="E229" s="19" t="str">
        <f>IF($A229="","",SUMIFS('Stock OUT (Issue)'!$G$3:$G$302,'Stock OUT (Issue)'!$D$3:$D$302,$A229,'Stock OUT (Issue)'!$C$3:$C$302,"JOB-02"))</f>
        <v/>
      </c>
      <c r="F229" s="19" t="str">
        <f>IF($A229="","",SUMIFS('Stock OUT (Issue)'!$G$3:$G$302,'Stock OUT (Issue)'!$D$3:$D$302,$A229,'Stock OUT (Issue)'!$C$3:$C$302,"JOB-03"))</f>
        <v/>
      </c>
      <c r="G229" s="19" t="str">
        <f>IF($A229="","",SUMIFS('Stock OUT (Issue)'!$G$3:$G$302,'Stock OUT (Issue)'!$D$3:$D$302,$A229,'Stock OUT (Issue)'!$C$3:$C$302,"JOB-04"))</f>
        <v/>
      </c>
      <c r="H229" s="19" t="str">
        <f>IF($A229="","",SUMIFS('Stock OUT (Issue)'!$G$3:$G$302,'Stock OUT (Issue)'!$D$3:$D$302,$A229,'Stock OUT (Issue)'!$C$3:$C$302,"JOB-05"))</f>
        <v/>
      </c>
      <c r="I229" s="19" t="str">
        <f t="shared" si="1"/>
        <v/>
      </c>
    </row>
    <row r="230" ht="15.75" customHeight="1">
      <c r="A230" s="14" t="str">
        <f>IF('Item Master'!B230="","",'Item Master'!B230)</f>
        <v/>
      </c>
      <c r="B230" s="14" t="str">
        <f>IF($A230="","",'Item Master'!C230)</f>
        <v/>
      </c>
      <c r="C230" s="14" t="str">
        <f>IF($A230="","",'Item Master'!G230)</f>
        <v/>
      </c>
      <c r="D230" s="19" t="str">
        <f>IF($A230="","",SUMIFS('Stock OUT (Issue)'!$G$3:$G$302,'Stock OUT (Issue)'!$D$3:$D$302,$A230,'Stock OUT (Issue)'!$C$3:$C$302,"JOB-01"))</f>
        <v/>
      </c>
      <c r="E230" s="19" t="str">
        <f>IF($A230="","",SUMIFS('Stock OUT (Issue)'!$G$3:$G$302,'Stock OUT (Issue)'!$D$3:$D$302,$A230,'Stock OUT (Issue)'!$C$3:$C$302,"JOB-02"))</f>
        <v/>
      </c>
      <c r="F230" s="19" t="str">
        <f>IF($A230="","",SUMIFS('Stock OUT (Issue)'!$G$3:$G$302,'Stock OUT (Issue)'!$D$3:$D$302,$A230,'Stock OUT (Issue)'!$C$3:$C$302,"JOB-03"))</f>
        <v/>
      </c>
      <c r="G230" s="19" t="str">
        <f>IF($A230="","",SUMIFS('Stock OUT (Issue)'!$G$3:$G$302,'Stock OUT (Issue)'!$D$3:$D$302,$A230,'Stock OUT (Issue)'!$C$3:$C$302,"JOB-04"))</f>
        <v/>
      </c>
      <c r="H230" s="19" t="str">
        <f>IF($A230="","",SUMIFS('Stock OUT (Issue)'!$G$3:$G$302,'Stock OUT (Issue)'!$D$3:$D$302,$A230,'Stock OUT (Issue)'!$C$3:$C$302,"JOB-05"))</f>
        <v/>
      </c>
      <c r="I230" s="19" t="str">
        <f t="shared" si="1"/>
        <v/>
      </c>
    </row>
    <row r="231" ht="15.75" customHeight="1">
      <c r="A231" s="14" t="str">
        <f>IF('Item Master'!B231="","",'Item Master'!B231)</f>
        <v/>
      </c>
      <c r="B231" s="14" t="str">
        <f>IF($A231="","",'Item Master'!C231)</f>
        <v/>
      </c>
      <c r="C231" s="14" t="str">
        <f>IF($A231="","",'Item Master'!G231)</f>
        <v/>
      </c>
      <c r="D231" s="19" t="str">
        <f>IF($A231="","",SUMIFS('Stock OUT (Issue)'!$G$3:$G$302,'Stock OUT (Issue)'!$D$3:$D$302,$A231,'Stock OUT (Issue)'!$C$3:$C$302,"JOB-01"))</f>
        <v/>
      </c>
      <c r="E231" s="19" t="str">
        <f>IF($A231="","",SUMIFS('Stock OUT (Issue)'!$G$3:$G$302,'Stock OUT (Issue)'!$D$3:$D$302,$A231,'Stock OUT (Issue)'!$C$3:$C$302,"JOB-02"))</f>
        <v/>
      </c>
      <c r="F231" s="19" t="str">
        <f>IF($A231="","",SUMIFS('Stock OUT (Issue)'!$G$3:$G$302,'Stock OUT (Issue)'!$D$3:$D$302,$A231,'Stock OUT (Issue)'!$C$3:$C$302,"JOB-03"))</f>
        <v/>
      </c>
      <c r="G231" s="19" t="str">
        <f>IF($A231="","",SUMIFS('Stock OUT (Issue)'!$G$3:$G$302,'Stock OUT (Issue)'!$D$3:$D$302,$A231,'Stock OUT (Issue)'!$C$3:$C$302,"JOB-04"))</f>
        <v/>
      </c>
      <c r="H231" s="19" t="str">
        <f>IF($A231="","",SUMIFS('Stock OUT (Issue)'!$G$3:$G$302,'Stock OUT (Issue)'!$D$3:$D$302,$A231,'Stock OUT (Issue)'!$C$3:$C$302,"JOB-05"))</f>
        <v/>
      </c>
      <c r="I231" s="19" t="str">
        <f t="shared" si="1"/>
        <v/>
      </c>
    </row>
    <row r="232" ht="15.75" customHeight="1">
      <c r="A232" s="14" t="str">
        <f>IF('Item Master'!B232="","",'Item Master'!B232)</f>
        <v/>
      </c>
      <c r="B232" s="14" t="str">
        <f>IF($A232="","",'Item Master'!C232)</f>
        <v/>
      </c>
      <c r="C232" s="14" t="str">
        <f>IF($A232="","",'Item Master'!G232)</f>
        <v/>
      </c>
      <c r="D232" s="19" t="str">
        <f>IF($A232="","",SUMIFS('Stock OUT (Issue)'!$G$3:$G$302,'Stock OUT (Issue)'!$D$3:$D$302,$A232,'Stock OUT (Issue)'!$C$3:$C$302,"JOB-01"))</f>
        <v/>
      </c>
      <c r="E232" s="19" t="str">
        <f>IF($A232="","",SUMIFS('Stock OUT (Issue)'!$G$3:$G$302,'Stock OUT (Issue)'!$D$3:$D$302,$A232,'Stock OUT (Issue)'!$C$3:$C$302,"JOB-02"))</f>
        <v/>
      </c>
      <c r="F232" s="19" t="str">
        <f>IF($A232="","",SUMIFS('Stock OUT (Issue)'!$G$3:$G$302,'Stock OUT (Issue)'!$D$3:$D$302,$A232,'Stock OUT (Issue)'!$C$3:$C$302,"JOB-03"))</f>
        <v/>
      </c>
      <c r="G232" s="19" t="str">
        <f>IF($A232="","",SUMIFS('Stock OUT (Issue)'!$G$3:$G$302,'Stock OUT (Issue)'!$D$3:$D$302,$A232,'Stock OUT (Issue)'!$C$3:$C$302,"JOB-04"))</f>
        <v/>
      </c>
      <c r="H232" s="19" t="str">
        <f>IF($A232="","",SUMIFS('Stock OUT (Issue)'!$G$3:$G$302,'Stock OUT (Issue)'!$D$3:$D$302,$A232,'Stock OUT (Issue)'!$C$3:$C$302,"JOB-05"))</f>
        <v/>
      </c>
      <c r="I232" s="19" t="str">
        <f t="shared" si="1"/>
        <v/>
      </c>
    </row>
    <row r="233" ht="15.75" customHeight="1">
      <c r="A233" s="14" t="str">
        <f>IF('Item Master'!B233="","",'Item Master'!B233)</f>
        <v/>
      </c>
      <c r="B233" s="14" t="str">
        <f>IF($A233="","",'Item Master'!C233)</f>
        <v/>
      </c>
      <c r="C233" s="14" t="str">
        <f>IF($A233="","",'Item Master'!G233)</f>
        <v/>
      </c>
      <c r="D233" s="19" t="str">
        <f>IF($A233="","",SUMIFS('Stock OUT (Issue)'!$G$3:$G$302,'Stock OUT (Issue)'!$D$3:$D$302,$A233,'Stock OUT (Issue)'!$C$3:$C$302,"JOB-01"))</f>
        <v/>
      </c>
      <c r="E233" s="19" t="str">
        <f>IF($A233="","",SUMIFS('Stock OUT (Issue)'!$G$3:$G$302,'Stock OUT (Issue)'!$D$3:$D$302,$A233,'Stock OUT (Issue)'!$C$3:$C$302,"JOB-02"))</f>
        <v/>
      </c>
      <c r="F233" s="19" t="str">
        <f>IF($A233="","",SUMIFS('Stock OUT (Issue)'!$G$3:$G$302,'Stock OUT (Issue)'!$D$3:$D$302,$A233,'Stock OUT (Issue)'!$C$3:$C$302,"JOB-03"))</f>
        <v/>
      </c>
      <c r="G233" s="19" t="str">
        <f>IF($A233="","",SUMIFS('Stock OUT (Issue)'!$G$3:$G$302,'Stock OUT (Issue)'!$D$3:$D$302,$A233,'Stock OUT (Issue)'!$C$3:$C$302,"JOB-04"))</f>
        <v/>
      </c>
      <c r="H233" s="19" t="str">
        <f>IF($A233="","",SUMIFS('Stock OUT (Issue)'!$G$3:$G$302,'Stock OUT (Issue)'!$D$3:$D$302,$A233,'Stock OUT (Issue)'!$C$3:$C$302,"JOB-05"))</f>
        <v/>
      </c>
      <c r="I233" s="19" t="str">
        <f t="shared" si="1"/>
        <v/>
      </c>
    </row>
    <row r="234" ht="15.75" customHeight="1">
      <c r="A234" s="14" t="str">
        <f>IF('Item Master'!B234="","",'Item Master'!B234)</f>
        <v/>
      </c>
      <c r="B234" s="14" t="str">
        <f>IF($A234="","",'Item Master'!C234)</f>
        <v/>
      </c>
      <c r="C234" s="14" t="str">
        <f>IF($A234="","",'Item Master'!G234)</f>
        <v/>
      </c>
      <c r="D234" s="19" t="str">
        <f>IF($A234="","",SUMIFS('Stock OUT (Issue)'!$G$3:$G$302,'Stock OUT (Issue)'!$D$3:$D$302,$A234,'Stock OUT (Issue)'!$C$3:$C$302,"JOB-01"))</f>
        <v/>
      </c>
      <c r="E234" s="19" t="str">
        <f>IF($A234="","",SUMIFS('Stock OUT (Issue)'!$G$3:$G$302,'Stock OUT (Issue)'!$D$3:$D$302,$A234,'Stock OUT (Issue)'!$C$3:$C$302,"JOB-02"))</f>
        <v/>
      </c>
      <c r="F234" s="19" t="str">
        <f>IF($A234="","",SUMIFS('Stock OUT (Issue)'!$G$3:$G$302,'Stock OUT (Issue)'!$D$3:$D$302,$A234,'Stock OUT (Issue)'!$C$3:$C$302,"JOB-03"))</f>
        <v/>
      </c>
      <c r="G234" s="19" t="str">
        <f>IF($A234="","",SUMIFS('Stock OUT (Issue)'!$G$3:$G$302,'Stock OUT (Issue)'!$D$3:$D$302,$A234,'Stock OUT (Issue)'!$C$3:$C$302,"JOB-04"))</f>
        <v/>
      </c>
      <c r="H234" s="19" t="str">
        <f>IF($A234="","",SUMIFS('Stock OUT (Issue)'!$G$3:$G$302,'Stock OUT (Issue)'!$D$3:$D$302,$A234,'Stock OUT (Issue)'!$C$3:$C$302,"JOB-05"))</f>
        <v/>
      </c>
      <c r="I234" s="19" t="str">
        <f t="shared" si="1"/>
        <v/>
      </c>
    </row>
    <row r="235" ht="15.75" customHeight="1">
      <c r="A235" s="14" t="str">
        <f>IF('Item Master'!B235="","",'Item Master'!B235)</f>
        <v/>
      </c>
      <c r="B235" s="14" t="str">
        <f>IF($A235="","",'Item Master'!C235)</f>
        <v/>
      </c>
      <c r="C235" s="14" t="str">
        <f>IF($A235="","",'Item Master'!G235)</f>
        <v/>
      </c>
      <c r="D235" s="19" t="str">
        <f>IF($A235="","",SUMIFS('Stock OUT (Issue)'!$G$3:$G$302,'Stock OUT (Issue)'!$D$3:$D$302,$A235,'Stock OUT (Issue)'!$C$3:$C$302,"JOB-01"))</f>
        <v/>
      </c>
      <c r="E235" s="19" t="str">
        <f>IF($A235="","",SUMIFS('Stock OUT (Issue)'!$G$3:$G$302,'Stock OUT (Issue)'!$D$3:$D$302,$A235,'Stock OUT (Issue)'!$C$3:$C$302,"JOB-02"))</f>
        <v/>
      </c>
      <c r="F235" s="19" t="str">
        <f>IF($A235="","",SUMIFS('Stock OUT (Issue)'!$G$3:$G$302,'Stock OUT (Issue)'!$D$3:$D$302,$A235,'Stock OUT (Issue)'!$C$3:$C$302,"JOB-03"))</f>
        <v/>
      </c>
      <c r="G235" s="19" t="str">
        <f>IF($A235="","",SUMIFS('Stock OUT (Issue)'!$G$3:$G$302,'Stock OUT (Issue)'!$D$3:$D$302,$A235,'Stock OUT (Issue)'!$C$3:$C$302,"JOB-04"))</f>
        <v/>
      </c>
      <c r="H235" s="19" t="str">
        <f>IF($A235="","",SUMIFS('Stock OUT (Issue)'!$G$3:$G$302,'Stock OUT (Issue)'!$D$3:$D$302,$A235,'Stock OUT (Issue)'!$C$3:$C$302,"JOB-05"))</f>
        <v/>
      </c>
      <c r="I235" s="19" t="str">
        <f t="shared" si="1"/>
        <v/>
      </c>
    </row>
    <row r="236" ht="15.75" customHeight="1">
      <c r="A236" s="14" t="str">
        <f>IF('Item Master'!B236="","",'Item Master'!B236)</f>
        <v/>
      </c>
      <c r="B236" s="14" t="str">
        <f>IF($A236="","",'Item Master'!C236)</f>
        <v/>
      </c>
      <c r="C236" s="14" t="str">
        <f>IF($A236="","",'Item Master'!G236)</f>
        <v/>
      </c>
      <c r="D236" s="19" t="str">
        <f>IF($A236="","",SUMIFS('Stock OUT (Issue)'!$G$3:$G$302,'Stock OUT (Issue)'!$D$3:$D$302,$A236,'Stock OUT (Issue)'!$C$3:$C$302,"JOB-01"))</f>
        <v/>
      </c>
      <c r="E236" s="19" t="str">
        <f>IF($A236="","",SUMIFS('Stock OUT (Issue)'!$G$3:$G$302,'Stock OUT (Issue)'!$D$3:$D$302,$A236,'Stock OUT (Issue)'!$C$3:$C$302,"JOB-02"))</f>
        <v/>
      </c>
      <c r="F236" s="19" t="str">
        <f>IF($A236="","",SUMIFS('Stock OUT (Issue)'!$G$3:$G$302,'Stock OUT (Issue)'!$D$3:$D$302,$A236,'Stock OUT (Issue)'!$C$3:$C$302,"JOB-03"))</f>
        <v/>
      </c>
      <c r="G236" s="19" t="str">
        <f>IF($A236="","",SUMIFS('Stock OUT (Issue)'!$G$3:$G$302,'Stock OUT (Issue)'!$D$3:$D$302,$A236,'Stock OUT (Issue)'!$C$3:$C$302,"JOB-04"))</f>
        <v/>
      </c>
      <c r="H236" s="19" t="str">
        <f>IF($A236="","",SUMIFS('Stock OUT (Issue)'!$G$3:$G$302,'Stock OUT (Issue)'!$D$3:$D$302,$A236,'Stock OUT (Issue)'!$C$3:$C$302,"JOB-05"))</f>
        <v/>
      </c>
      <c r="I236" s="19" t="str">
        <f t="shared" si="1"/>
        <v/>
      </c>
    </row>
    <row r="237" ht="15.75" customHeight="1">
      <c r="A237" s="14" t="str">
        <f>IF('Item Master'!B237="","",'Item Master'!B237)</f>
        <v/>
      </c>
      <c r="B237" s="14" t="str">
        <f>IF($A237="","",'Item Master'!C237)</f>
        <v/>
      </c>
      <c r="C237" s="14" t="str">
        <f>IF($A237="","",'Item Master'!G237)</f>
        <v/>
      </c>
      <c r="D237" s="19" t="str">
        <f>IF($A237="","",SUMIFS('Stock OUT (Issue)'!$G$3:$G$302,'Stock OUT (Issue)'!$D$3:$D$302,$A237,'Stock OUT (Issue)'!$C$3:$C$302,"JOB-01"))</f>
        <v/>
      </c>
      <c r="E237" s="19" t="str">
        <f>IF($A237="","",SUMIFS('Stock OUT (Issue)'!$G$3:$G$302,'Stock OUT (Issue)'!$D$3:$D$302,$A237,'Stock OUT (Issue)'!$C$3:$C$302,"JOB-02"))</f>
        <v/>
      </c>
      <c r="F237" s="19" t="str">
        <f>IF($A237="","",SUMIFS('Stock OUT (Issue)'!$G$3:$G$302,'Stock OUT (Issue)'!$D$3:$D$302,$A237,'Stock OUT (Issue)'!$C$3:$C$302,"JOB-03"))</f>
        <v/>
      </c>
      <c r="G237" s="19" t="str">
        <f>IF($A237="","",SUMIFS('Stock OUT (Issue)'!$G$3:$G$302,'Stock OUT (Issue)'!$D$3:$D$302,$A237,'Stock OUT (Issue)'!$C$3:$C$302,"JOB-04"))</f>
        <v/>
      </c>
      <c r="H237" s="19" t="str">
        <f>IF($A237="","",SUMIFS('Stock OUT (Issue)'!$G$3:$G$302,'Stock OUT (Issue)'!$D$3:$D$302,$A237,'Stock OUT (Issue)'!$C$3:$C$302,"JOB-05"))</f>
        <v/>
      </c>
      <c r="I237" s="19" t="str">
        <f t="shared" si="1"/>
        <v/>
      </c>
    </row>
    <row r="238" ht="15.75" customHeight="1">
      <c r="A238" s="14" t="str">
        <f>IF('Item Master'!B238="","",'Item Master'!B238)</f>
        <v/>
      </c>
      <c r="B238" s="14" t="str">
        <f>IF($A238="","",'Item Master'!C238)</f>
        <v/>
      </c>
      <c r="C238" s="14" t="str">
        <f>IF($A238="","",'Item Master'!G238)</f>
        <v/>
      </c>
      <c r="D238" s="19" t="str">
        <f>IF($A238="","",SUMIFS('Stock OUT (Issue)'!$G$3:$G$302,'Stock OUT (Issue)'!$D$3:$D$302,$A238,'Stock OUT (Issue)'!$C$3:$C$302,"JOB-01"))</f>
        <v/>
      </c>
      <c r="E238" s="19" t="str">
        <f>IF($A238="","",SUMIFS('Stock OUT (Issue)'!$G$3:$G$302,'Stock OUT (Issue)'!$D$3:$D$302,$A238,'Stock OUT (Issue)'!$C$3:$C$302,"JOB-02"))</f>
        <v/>
      </c>
      <c r="F238" s="19" t="str">
        <f>IF($A238="","",SUMIFS('Stock OUT (Issue)'!$G$3:$G$302,'Stock OUT (Issue)'!$D$3:$D$302,$A238,'Stock OUT (Issue)'!$C$3:$C$302,"JOB-03"))</f>
        <v/>
      </c>
      <c r="G238" s="19" t="str">
        <f>IF($A238="","",SUMIFS('Stock OUT (Issue)'!$G$3:$G$302,'Stock OUT (Issue)'!$D$3:$D$302,$A238,'Stock OUT (Issue)'!$C$3:$C$302,"JOB-04"))</f>
        <v/>
      </c>
      <c r="H238" s="19" t="str">
        <f>IF($A238="","",SUMIFS('Stock OUT (Issue)'!$G$3:$G$302,'Stock OUT (Issue)'!$D$3:$D$302,$A238,'Stock OUT (Issue)'!$C$3:$C$302,"JOB-05"))</f>
        <v/>
      </c>
      <c r="I238" s="19" t="str">
        <f t="shared" si="1"/>
        <v/>
      </c>
    </row>
    <row r="239" ht="15.75" customHeight="1">
      <c r="A239" s="14" t="str">
        <f>IF('Item Master'!B239="","",'Item Master'!B239)</f>
        <v/>
      </c>
      <c r="B239" s="14" t="str">
        <f>IF($A239="","",'Item Master'!C239)</f>
        <v/>
      </c>
      <c r="C239" s="14" t="str">
        <f>IF($A239="","",'Item Master'!G239)</f>
        <v/>
      </c>
      <c r="D239" s="19" t="str">
        <f>IF($A239="","",SUMIFS('Stock OUT (Issue)'!$G$3:$G$302,'Stock OUT (Issue)'!$D$3:$D$302,$A239,'Stock OUT (Issue)'!$C$3:$C$302,"JOB-01"))</f>
        <v/>
      </c>
      <c r="E239" s="19" t="str">
        <f>IF($A239="","",SUMIFS('Stock OUT (Issue)'!$G$3:$G$302,'Stock OUT (Issue)'!$D$3:$D$302,$A239,'Stock OUT (Issue)'!$C$3:$C$302,"JOB-02"))</f>
        <v/>
      </c>
      <c r="F239" s="19" t="str">
        <f>IF($A239="","",SUMIFS('Stock OUT (Issue)'!$G$3:$G$302,'Stock OUT (Issue)'!$D$3:$D$302,$A239,'Stock OUT (Issue)'!$C$3:$C$302,"JOB-03"))</f>
        <v/>
      </c>
      <c r="G239" s="19" t="str">
        <f>IF($A239="","",SUMIFS('Stock OUT (Issue)'!$G$3:$G$302,'Stock OUT (Issue)'!$D$3:$D$302,$A239,'Stock OUT (Issue)'!$C$3:$C$302,"JOB-04"))</f>
        <v/>
      </c>
      <c r="H239" s="19" t="str">
        <f>IF($A239="","",SUMIFS('Stock OUT (Issue)'!$G$3:$G$302,'Stock OUT (Issue)'!$D$3:$D$302,$A239,'Stock OUT (Issue)'!$C$3:$C$302,"JOB-05"))</f>
        <v/>
      </c>
      <c r="I239" s="19" t="str">
        <f t="shared" si="1"/>
        <v/>
      </c>
    </row>
    <row r="240" ht="15.75" customHeight="1">
      <c r="A240" s="14" t="str">
        <f>IF('Item Master'!B240="","",'Item Master'!B240)</f>
        <v/>
      </c>
      <c r="B240" s="14" t="str">
        <f>IF($A240="","",'Item Master'!C240)</f>
        <v/>
      </c>
      <c r="C240" s="14" t="str">
        <f>IF($A240="","",'Item Master'!G240)</f>
        <v/>
      </c>
      <c r="D240" s="19" t="str">
        <f>IF($A240="","",SUMIFS('Stock OUT (Issue)'!$G$3:$G$302,'Stock OUT (Issue)'!$D$3:$D$302,$A240,'Stock OUT (Issue)'!$C$3:$C$302,"JOB-01"))</f>
        <v/>
      </c>
      <c r="E240" s="19" t="str">
        <f>IF($A240="","",SUMIFS('Stock OUT (Issue)'!$G$3:$G$302,'Stock OUT (Issue)'!$D$3:$D$302,$A240,'Stock OUT (Issue)'!$C$3:$C$302,"JOB-02"))</f>
        <v/>
      </c>
      <c r="F240" s="19" t="str">
        <f>IF($A240="","",SUMIFS('Stock OUT (Issue)'!$G$3:$G$302,'Stock OUT (Issue)'!$D$3:$D$302,$A240,'Stock OUT (Issue)'!$C$3:$C$302,"JOB-03"))</f>
        <v/>
      </c>
      <c r="G240" s="19" t="str">
        <f>IF($A240="","",SUMIFS('Stock OUT (Issue)'!$G$3:$G$302,'Stock OUT (Issue)'!$D$3:$D$302,$A240,'Stock OUT (Issue)'!$C$3:$C$302,"JOB-04"))</f>
        <v/>
      </c>
      <c r="H240" s="19" t="str">
        <f>IF($A240="","",SUMIFS('Stock OUT (Issue)'!$G$3:$G$302,'Stock OUT (Issue)'!$D$3:$D$302,$A240,'Stock OUT (Issue)'!$C$3:$C$302,"JOB-05"))</f>
        <v/>
      </c>
      <c r="I240" s="19" t="str">
        <f t="shared" si="1"/>
        <v/>
      </c>
    </row>
    <row r="241" ht="15.75" customHeight="1">
      <c r="A241" s="14" t="str">
        <f>IF('Item Master'!B241="","",'Item Master'!B241)</f>
        <v/>
      </c>
      <c r="B241" s="14" t="str">
        <f>IF($A241="","",'Item Master'!C241)</f>
        <v/>
      </c>
      <c r="C241" s="14" t="str">
        <f>IF($A241="","",'Item Master'!G241)</f>
        <v/>
      </c>
      <c r="D241" s="19" t="str">
        <f>IF($A241="","",SUMIFS('Stock OUT (Issue)'!$G$3:$G$302,'Stock OUT (Issue)'!$D$3:$D$302,$A241,'Stock OUT (Issue)'!$C$3:$C$302,"JOB-01"))</f>
        <v/>
      </c>
      <c r="E241" s="19" t="str">
        <f>IF($A241="","",SUMIFS('Stock OUT (Issue)'!$G$3:$G$302,'Stock OUT (Issue)'!$D$3:$D$302,$A241,'Stock OUT (Issue)'!$C$3:$C$302,"JOB-02"))</f>
        <v/>
      </c>
      <c r="F241" s="19" t="str">
        <f>IF($A241="","",SUMIFS('Stock OUT (Issue)'!$G$3:$G$302,'Stock OUT (Issue)'!$D$3:$D$302,$A241,'Stock OUT (Issue)'!$C$3:$C$302,"JOB-03"))</f>
        <v/>
      </c>
      <c r="G241" s="19" t="str">
        <f>IF($A241="","",SUMIFS('Stock OUT (Issue)'!$G$3:$G$302,'Stock OUT (Issue)'!$D$3:$D$302,$A241,'Stock OUT (Issue)'!$C$3:$C$302,"JOB-04"))</f>
        <v/>
      </c>
      <c r="H241" s="19" t="str">
        <f>IF($A241="","",SUMIFS('Stock OUT (Issue)'!$G$3:$G$302,'Stock OUT (Issue)'!$D$3:$D$302,$A241,'Stock OUT (Issue)'!$C$3:$C$302,"JOB-05"))</f>
        <v/>
      </c>
      <c r="I241" s="19" t="str">
        <f t="shared" si="1"/>
        <v/>
      </c>
    </row>
    <row r="242" ht="15.75" customHeight="1">
      <c r="A242" s="14" t="str">
        <f>IF('Item Master'!B242="","",'Item Master'!B242)</f>
        <v/>
      </c>
      <c r="B242" s="14" t="str">
        <f>IF($A242="","",'Item Master'!C242)</f>
        <v/>
      </c>
      <c r="C242" s="14" t="str">
        <f>IF($A242="","",'Item Master'!G242)</f>
        <v/>
      </c>
      <c r="D242" s="19" t="str">
        <f>IF($A242="","",SUMIFS('Stock OUT (Issue)'!$G$3:$G$302,'Stock OUT (Issue)'!$D$3:$D$302,$A242,'Stock OUT (Issue)'!$C$3:$C$302,"JOB-01"))</f>
        <v/>
      </c>
      <c r="E242" s="19" t="str">
        <f>IF($A242="","",SUMIFS('Stock OUT (Issue)'!$G$3:$G$302,'Stock OUT (Issue)'!$D$3:$D$302,$A242,'Stock OUT (Issue)'!$C$3:$C$302,"JOB-02"))</f>
        <v/>
      </c>
      <c r="F242" s="19" t="str">
        <f>IF($A242="","",SUMIFS('Stock OUT (Issue)'!$G$3:$G$302,'Stock OUT (Issue)'!$D$3:$D$302,$A242,'Stock OUT (Issue)'!$C$3:$C$302,"JOB-03"))</f>
        <v/>
      </c>
      <c r="G242" s="19" t="str">
        <f>IF($A242="","",SUMIFS('Stock OUT (Issue)'!$G$3:$G$302,'Stock OUT (Issue)'!$D$3:$D$302,$A242,'Stock OUT (Issue)'!$C$3:$C$302,"JOB-04"))</f>
        <v/>
      </c>
      <c r="H242" s="19" t="str">
        <f>IF($A242="","",SUMIFS('Stock OUT (Issue)'!$G$3:$G$302,'Stock OUT (Issue)'!$D$3:$D$302,$A242,'Stock OUT (Issue)'!$C$3:$C$302,"JOB-05"))</f>
        <v/>
      </c>
      <c r="I242" s="19" t="str">
        <f t="shared" si="1"/>
        <v/>
      </c>
    </row>
    <row r="243" ht="15.75" customHeight="1">
      <c r="A243" s="14" t="str">
        <f>IF('Item Master'!B243="","",'Item Master'!B243)</f>
        <v/>
      </c>
      <c r="B243" s="14" t="str">
        <f>IF($A243="","",'Item Master'!C243)</f>
        <v/>
      </c>
      <c r="C243" s="14" t="str">
        <f>IF($A243="","",'Item Master'!G243)</f>
        <v/>
      </c>
      <c r="D243" s="19" t="str">
        <f>IF($A243="","",SUMIFS('Stock OUT (Issue)'!$G$3:$G$302,'Stock OUT (Issue)'!$D$3:$D$302,$A243,'Stock OUT (Issue)'!$C$3:$C$302,"JOB-01"))</f>
        <v/>
      </c>
      <c r="E243" s="19" t="str">
        <f>IF($A243="","",SUMIFS('Stock OUT (Issue)'!$G$3:$G$302,'Stock OUT (Issue)'!$D$3:$D$302,$A243,'Stock OUT (Issue)'!$C$3:$C$302,"JOB-02"))</f>
        <v/>
      </c>
      <c r="F243" s="19" t="str">
        <f>IF($A243="","",SUMIFS('Stock OUT (Issue)'!$G$3:$G$302,'Stock OUT (Issue)'!$D$3:$D$302,$A243,'Stock OUT (Issue)'!$C$3:$C$302,"JOB-03"))</f>
        <v/>
      </c>
      <c r="G243" s="19" t="str">
        <f>IF($A243="","",SUMIFS('Stock OUT (Issue)'!$G$3:$G$302,'Stock OUT (Issue)'!$D$3:$D$302,$A243,'Stock OUT (Issue)'!$C$3:$C$302,"JOB-04"))</f>
        <v/>
      </c>
      <c r="H243" s="19" t="str">
        <f>IF($A243="","",SUMIFS('Stock OUT (Issue)'!$G$3:$G$302,'Stock OUT (Issue)'!$D$3:$D$302,$A243,'Stock OUT (Issue)'!$C$3:$C$302,"JOB-05"))</f>
        <v/>
      </c>
      <c r="I243" s="19" t="str">
        <f t="shared" si="1"/>
        <v/>
      </c>
    </row>
    <row r="244" ht="15.75" customHeight="1">
      <c r="A244" s="14" t="str">
        <f>IF('Item Master'!B244="","",'Item Master'!B244)</f>
        <v/>
      </c>
      <c r="B244" s="14" t="str">
        <f>IF($A244="","",'Item Master'!C244)</f>
        <v/>
      </c>
      <c r="C244" s="14" t="str">
        <f>IF($A244="","",'Item Master'!G244)</f>
        <v/>
      </c>
      <c r="D244" s="19" t="str">
        <f>IF($A244="","",SUMIFS('Stock OUT (Issue)'!$G$3:$G$302,'Stock OUT (Issue)'!$D$3:$D$302,$A244,'Stock OUT (Issue)'!$C$3:$C$302,"JOB-01"))</f>
        <v/>
      </c>
      <c r="E244" s="19" t="str">
        <f>IF($A244="","",SUMIFS('Stock OUT (Issue)'!$G$3:$G$302,'Stock OUT (Issue)'!$D$3:$D$302,$A244,'Stock OUT (Issue)'!$C$3:$C$302,"JOB-02"))</f>
        <v/>
      </c>
      <c r="F244" s="19" t="str">
        <f>IF($A244="","",SUMIFS('Stock OUT (Issue)'!$G$3:$G$302,'Stock OUT (Issue)'!$D$3:$D$302,$A244,'Stock OUT (Issue)'!$C$3:$C$302,"JOB-03"))</f>
        <v/>
      </c>
      <c r="G244" s="19" t="str">
        <f>IF($A244="","",SUMIFS('Stock OUT (Issue)'!$G$3:$G$302,'Stock OUT (Issue)'!$D$3:$D$302,$A244,'Stock OUT (Issue)'!$C$3:$C$302,"JOB-04"))</f>
        <v/>
      </c>
      <c r="H244" s="19" t="str">
        <f>IF($A244="","",SUMIFS('Stock OUT (Issue)'!$G$3:$G$302,'Stock OUT (Issue)'!$D$3:$D$302,$A244,'Stock OUT (Issue)'!$C$3:$C$302,"JOB-05"))</f>
        <v/>
      </c>
      <c r="I244" s="19" t="str">
        <f t="shared" si="1"/>
        <v/>
      </c>
    </row>
    <row r="245" ht="15.75" customHeight="1">
      <c r="A245" s="14" t="str">
        <f>IF('Item Master'!B245="","",'Item Master'!B245)</f>
        <v/>
      </c>
      <c r="B245" s="14" t="str">
        <f>IF($A245="","",'Item Master'!C245)</f>
        <v/>
      </c>
      <c r="C245" s="14" t="str">
        <f>IF($A245="","",'Item Master'!G245)</f>
        <v/>
      </c>
      <c r="D245" s="19" t="str">
        <f>IF($A245="","",SUMIFS('Stock OUT (Issue)'!$G$3:$G$302,'Stock OUT (Issue)'!$D$3:$D$302,$A245,'Stock OUT (Issue)'!$C$3:$C$302,"JOB-01"))</f>
        <v/>
      </c>
      <c r="E245" s="19" t="str">
        <f>IF($A245="","",SUMIFS('Stock OUT (Issue)'!$G$3:$G$302,'Stock OUT (Issue)'!$D$3:$D$302,$A245,'Stock OUT (Issue)'!$C$3:$C$302,"JOB-02"))</f>
        <v/>
      </c>
      <c r="F245" s="19" t="str">
        <f>IF($A245="","",SUMIFS('Stock OUT (Issue)'!$G$3:$G$302,'Stock OUT (Issue)'!$D$3:$D$302,$A245,'Stock OUT (Issue)'!$C$3:$C$302,"JOB-03"))</f>
        <v/>
      </c>
      <c r="G245" s="19" t="str">
        <f>IF($A245="","",SUMIFS('Stock OUT (Issue)'!$G$3:$G$302,'Stock OUT (Issue)'!$D$3:$D$302,$A245,'Stock OUT (Issue)'!$C$3:$C$302,"JOB-04"))</f>
        <v/>
      </c>
      <c r="H245" s="19" t="str">
        <f>IF($A245="","",SUMIFS('Stock OUT (Issue)'!$G$3:$G$302,'Stock OUT (Issue)'!$D$3:$D$302,$A245,'Stock OUT (Issue)'!$C$3:$C$302,"JOB-05"))</f>
        <v/>
      </c>
      <c r="I245" s="19" t="str">
        <f t="shared" si="1"/>
        <v/>
      </c>
    </row>
    <row r="246" ht="15.75" customHeight="1">
      <c r="A246" s="14" t="str">
        <f>IF('Item Master'!B246="","",'Item Master'!B246)</f>
        <v/>
      </c>
      <c r="B246" s="14" t="str">
        <f>IF($A246="","",'Item Master'!C246)</f>
        <v/>
      </c>
      <c r="C246" s="14" t="str">
        <f>IF($A246="","",'Item Master'!G246)</f>
        <v/>
      </c>
      <c r="D246" s="19" t="str">
        <f>IF($A246="","",SUMIFS('Stock OUT (Issue)'!$G$3:$G$302,'Stock OUT (Issue)'!$D$3:$D$302,$A246,'Stock OUT (Issue)'!$C$3:$C$302,"JOB-01"))</f>
        <v/>
      </c>
      <c r="E246" s="19" t="str">
        <f>IF($A246="","",SUMIFS('Stock OUT (Issue)'!$G$3:$G$302,'Stock OUT (Issue)'!$D$3:$D$302,$A246,'Stock OUT (Issue)'!$C$3:$C$302,"JOB-02"))</f>
        <v/>
      </c>
      <c r="F246" s="19" t="str">
        <f>IF($A246="","",SUMIFS('Stock OUT (Issue)'!$G$3:$G$302,'Stock OUT (Issue)'!$D$3:$D$302,$A246,'Stock OUT (Issue)'!$C$3:$C$302,"JOB-03"))</f>
        <v/>
      </c>
      <c r="G246" s="19" t="str">
        <f>IF($A246="","",SUMIFS('Stock OUT (Issue)'!$G$3:$G$302,'Stock OUT (Issue)'!$D$3:$D$302,$A246,'Stock OUT (Issue)'!$C$3:$C$302,"JOB-04"))</f>
        <v/>
      </c>
      <c r="H246" s="19" t="str">
        <f>IF($A246="","",SUMIFS('Stock OUT (Issue)'!$G$3:$G$302,'Stock OUT (Issue)'!$D$3:$D$302,$A246,'Stock OUT (Issue)'!$C$3:$C$302,"JOB-05"))</f>
        <v/>
      </c>
      <c r="I246" s="19" t="str">
        <f t="shared" si="1"/>
        <v/>
      </c>
    </row>
    <row r="247" ht="15.75" customHeight="1">
      <c r="A247" s="14" t="str">
        <f>IF('Item Master'!B247="","",'Item Master'!B247)</f>
        <v/>
      </c>
      <c r="B247" s="14" t="str">
        <f>IF($A247="","",'Item Master'!C247)</f>
        <v/>
      </c>
      <c r="C247" s="14" t="str">
        <f>IF($A247="","",'Item Master'!G247)</f>
        <v/>
      </c>
      <c r="D247" s="19" t="str">
        <f>IF($A247="","",SUMIFS('Stock OUT (Issue)'!$G$3:$G$302,'Stock OUT (Issue)'!$D$3:$D$302,$A247,'Stock OUT (Issue)'!$C$3:$C$302,"JOB-01"))</f>
        <v/>
      </c>
      <c r="E247" s="19" t="str">
        <f>IF($A247="","",SUMIFS('Stock OUT (Issue)'!$G$3:$G$302,'Stock OUT (Issue)'!$D$3:$D$302,$A247,'Stock OUT (Issue)'!$C$3:$C$302,"JOB-02"))</f>
        <v/>
      </c>
      <c r="F247" s="19" t="str">
        <f>IF($A247="","",SUMIFS('Stock OUT (Issue)'!$G$3:$G$302,'Stock OUT (Issue)'!$D$3:$D$302,$A247,'Stock OUT (Issue)'!$C$3:$C$302,"JOB-03"))</f>
        <v/>
      </c>
      <c r="G247" s="19" t="str">
        <f>IF($A247="","",SUMIFS('Stock OUT (Issue)'!$G$3:$G$302,'Stock OUT (Issue)'!$D$3:$D$302,$A247,'Stock OUT (Issue)'!$C$3:$C$302,"JOB-04"))</f>
        <v/>
      </c>
      <c r="H247" s="19" t="str">
        <f>IF($A247="","",SUMIFS('Stock OUT (Issue)'!$G$3:$G$302,'Stock OUT (Issue)'!$D$3:$D$302,$A247,'Stock OUT (Issue)'!$C$3:$C$302,"JOB-05"))</f>
        <v/>
      </c>
      <c r="I247" s="19" t="str">
        <f t="shared" si="1"/>
        <v/>
      </c>
    </row>
    <row r="248" ht="15.75" customHeight="1">
      <c r="A248" s="14" t="str">
        <f>IF('Item Master'!B248="","",'Item Master'!B248)</f>
        <v/>
      </c>
      <c r="B248" s="14" t="str">
        <f>IF($A248="","",'Item Master'!C248)</f>
        <v/>
      </c>
      <c r="C248" s="14" t="str">
        <f>IF($A248="","",'Item Master'!G248)</f>
        <v/>
      </c>
      <c r="D248" s="19" t="str">
        <f>IF($A248="","",SUMIFS('Stock OUT (Issue)'!$G$3:$G$302,'Stock OUT (Issue)'!$D$3:$D$302,$A248,'Stock OUT (Issue)'!$C$3:$C$302,"JOB-01"))</f>
        <v/>
      </c>
      <c r="E248" s="19" t="str">
        <f>IF($A248="","",SUMIFS('Stock OUT (Issue)'!$G$3:$G$302,'Stock OUT (Issue)'!$D$3:$D$302,$A248,'Stock OUT (Issue)'!$C$3:$C$302,"JOB-02"))</f>
        <v/>
      </c>
      <c r="F248" s="19" t="str">
        <f>IF($A248="","",SUMIFS('Stock OUT (Issue)'!$G$3:$G$302,'Stock OUT (Issue)'!$D$3:$D$302,$A248,'Stock OUT (Issue)'!$C$3:$C$302,"JOB-03"))</f>
        <v/>
      </c>
      <c r="G248" s="19" t="str">
        <f>IF($A248="","",SUMIFS('Stock OUT (Issue)'!$G$3:$G$302,'Stock OUT (Issue)'!$D$3:$D$302,$A248,'Stock OUT (Issue)'!$C$3:$C$302,"JOB-04"))</f>
        <v/>
      </c>
      <c r="H248" s="19" t="str">
        <f>IF($A248="","",SUMIFS('Stock OUT (Issue)'!$G$3:$G$302,'Stock OUT (Issue)'!$D$3:$D$302,$A248,'Stock OUT (Issue)'!$C$3:$C$302,"JOB-05"))</f>
        <v/>
      </c>
      <c r="I248" s="19" t="str">
        <f t="shared" si="1"/>
        <v/>
      </c>
    </row>
    <row r="249" ht="15.75" customHeight="1">
      <c r="A249" s="14" t="str">
        <f>IF('Item Master'!B249="","",'Item Master'!B249)</f>
        <v/>
      </c>
      <c r="B249" s="14" t="str">
        <f>IF($A249="","",'Item Master'!C249)</f>
        <v/>
      </c>
      <c r="C249" s="14" t="str">
        <f>IF($A249="","",'Item Master'!G249)</f>
        <v/>
      </c>
      <c r="D249" s="19" t="str">
        <f>IF($A249="","",SUMIFS('Stock OUT (Issue)'!$G$3:$G$302,'Stock OUT (Issue)'!$D$3:$D$302,$A249,'Stock OUT (Issue)'!$C$3:$C$302,"JOB-01"))</f>
        <v/>
      </c>
      <c r="E249" s="19" t="str">
        <f>IF($A249="","",SUMIFS('Stock OUT (Issue)'!$G$3:$G$302,'Stock OUT (Issue)'!$D$3:$D$302,$A249,'Stock OUT (Issue)'!$C$3:$C$302,"JOB-02"))</f>
        <v/>
      </c>
      <c r="F249" s="19" t="str">
        <f>IF($A249="","",SUMIFS('Stock OUT (Issue)'!$G$3:$G$302,'Stock OUT (Issue)'!$D$3:$D$302,$A249,'Stock OUT (Issue)'!$C$3:$C$302,"JOB-03"))</f>
        <v/>
      </c>
      <c r="G249" s="19" t="str">
        <f>IF($A249="","",SUMIFS('Stock OUT (Issue)'!$G$3:$G$302,'Stock OUT (Issue)'!$D$3:$D$302,$A249,'Stock OUT (Issue)'!$C$3:$C$302,"JOB-04"))</f>
        <v/>
      </c>
      <c r="H249" s="19" t="str">
        <f>IF($A249="","",SUMIFS('Stock OUT (Issue)'!$G$3:$G$302,'Stock OUT (Issue)'!$D$3:$D$302,$A249,'Stock OUT (Issue)'!$C$3:$C$302,"JOB-05"))</f>
        <v/>
      </c>
      <c r="I249" s="19" t="str">
        <f t="shared" si="1"/>
        <v/>
      </c>
    </row>
    <row r="250" ht="15.75" customHeight="1">
      <c r="A250" s="14" t="str">
        <f>IF('Item Master'!B250="","",'Item Master'!B250)</f>
        <v/>
      </c>
      <c r="B250" s="14" t="str">
        <f>IF($A250="","",'Item Master'!C250)</f>
        <v/>
      </c>
      <c r="C250" s="14" t="str">
        <f>IF($A250="","",'Item Master'!G250)</f>
        <v/>
      </c>
      <c r="D250" s="19" t="str">
        <f>IF($A250="","",SUMIFS('Stock OUT (Issue)'!$G$3:$G$302,'Stock OUT (Issue)'!$D$3:$D$302,$A250,'Stock OUT (Issue)'!$C$3:$C$302,"JOB-01"))</f>
        <v/>
      </c>
      <c r="E250" s="19" t="str">
        <f>IF($A250="","",SUMIFS('Stock OUT (Issue)'!$G$3:$G$302,'Stock OUT (Issue)'!$D$3:$D$302,$A250,'Stock OUT (Issue)'!$C$3:$C$302,"JOB-02"))</f>
        <v/>
      </c>
      <c r="F250" s="19" t="str">
        <f>IF($A250="","",SUMIFS('Stock OUT (Issue)'!$G$3:$G$302,'Stock OUT (Issue)'!$D$3:$D$302,$A250,'Stock OUT (Issue)'!$C$3:$C$302,"JOB-03"))</f>
        <v/>
      </c>
      <c r="G250" s="19" t="str">
        <f>IF($A250="","",SUMIFS('Stock OUT (Issue)'!$G$3:$G$302,'Stock OUT (Issue)'!$D$3:$D$302,$A250,'Stock OUT (Issue)'!$C$3:$C$302,"JOB-04"))</f>
        <v/>
      </c>
      <c r="H250" s="19" t="str">
        <f>IF($A250="","",SUMIFS('Stock OUT (Issue)'!$G$3:$G$302,'Stock OUT (Issue)'!$D$3:$D$302,$A250,'Stock OUT (Issue)'!$C$3:$C$302,"JOB-05"))</f>
        <v/>
      </c>
      <c r="I250" s="19" t="str">
        <f t="shared" si="1"/>
        <v/>
      </c>
    </row>
    <row r="251" ht="15.75" customHeight="1">
      <c r="A251" s="14" t="str">
        <f>IF('Item Master'!B251="","",'Item Master'!B251)</f>
        <v/>
      </c>
      <c r="B251" s="14" t="str">
        <f>IF($A251="","",'Item Master'!C251)</f>
        <v/>
      </c>
      <c r="C251" s="14" t="str">
        <f>IF($A251="","",'Item Master'!G251)</f>
        <v/>
      </c>
      <c r="D251" s="19" t="str">
        <f>IF($A251="","",SUMIFS('Stock OUT (Issue)'!$G$3:$G$302,'Stock OUT (Issue)'!$D$3:$D$302,$A251,'Stock OUT (Issue)'!$C$3:$C$302,"JOB-01"))</f>
        <v/>
      </c>
      <c r="E251" s="19" t="str">
        <f>IF($A251="","",SUMIFS('Stock OUT (Issue)'!$G$3:$G$302,'Stock OUT (Issue)'!$D$3:$D$302,$A251,'Stock OUT (Issue)'!$C$3:$C$302,"JOB-02"))</f>
        <v/>
      </c>
      <c r="F251" s="19" t="str">
        <f>IF($A251="","",SUMIFS('Stock OUT (Issue)'!$G$3:$G$302,'Stock OUT (Issue)'!$D$3:$D$302,$A251,'Stock OUT (Issue)'!$C$3:$C$302,"JOB-03"))</f>
        <v/>
      </c>
      <c r="G251" s="19" t="str">
        <f>IF($A251="","",SUMIFS('Stock OUT (Issue)'!$G$3:$G$302,'Stock OUT (Issue)'!$D$3:$D$302,$A251,'Stock OUT (Issue)'!$C$3:$C$302,"JOB-04"))</f>
        <v/>
      </c>
      <c r="H251" s="19" t="str">
        <f>IF($A251="","",SUMIFS('Stock OUT (Issue)'!$G$3:$G$302,'Stock OUT (Issue)'!$D$3:$D$302,$A251,'Stock OUT (Issue)'!$C$3:$C$302,"JOB-05"))</f>
        <v/>
      </c>
      <c r="I251" s="19" t="str">
        <f t="shared" si="1"/>
        <v/>
      </c>
    </row>
    <row r="252" ht="15.75" customHeight="1">
      <c r="A252" s="14" t="str">
        <f>IF('Item Master'!B252="","",'Item Master'!B252)</f>
        <v/>
      </c>
      <c r="B252" s="14" t="str">
        <f>IF($A252="","",'Item Master'!C252)</f>
        <v/>
      </c>
      <c r="C252" s="14" t="str">
        <f>IF($A252="","",'Item Master'!G252)</f>
        <v/>
      </c>
      <c r="D252" s="19" t="str">
        <f>IF($A252="","",SUMIFS('Stock OUT (Issue)'!$G$3:$G$302,'Stock OUT (Issue)'!$D$3:$D$302,$A252,'Stock OUT (Issue)'!$C$3:$C$302,"JOB-01"))</f>
        <v/>
      </c>
      <c r="E252" s="19" t="str">
        <f>IF($A252="","",SUMIFS('Stock OUT (Issue)'!$G$3:$G$302,'Stock OUT (Issue)'!$D$3:$D$302,$A252,'Stock OUT (Issue)'!$C$3:$C$302,"JOB-02"))</f>
        <v/>
      </c>
      <c r="F252" s="19" t="str">
        <f>IF($A252="","",SUMIFS('Stock OUT (Issue)'!$G$3:$G$302,'Stock OUT (Issue)'!$D$3:$D$302,$A252,'Stock OUT (Issue)'!$C$3:$C$302,"JOB-03"))</f>
        <v/>
      </c>
      <c r="G252" s="19" t="str">
        <f>IF($A252="","",SUMIFS('Stock OUT (Issue)'!$G$3:$G$302,'Stock OUT (Issue)'!$D$3:$D$302,$A252,'Stock OUT (Issue)'!$C$3:$C$302,"JOB-04"))</f>
        <v/>
      </c>
      <c r="H252" s="19" t="str">
        <f>IF($A252="","",SUMIFS('Stock OUT (Issue)'!$G$3:$G$302,'Stock OUT (Issue)'!$D$3:$D$302,$A252,'Stock OUT (Issue)'!$C$3:$C$302,"JOB-05"))</f>
        <v/>
      </c>
      <c r="I252" s="19" t="str">
        <f t="shared" si="1"/>
        <v/>
      </c>
    </row>
    <row r="253" ht="15.75" customHeight="1">
      <c r="A253" s="14" t="str">
        <f>IF('Item Master'!B253="","",'Item Master'!B253)</f>
        <v/>
      </c>
      <c r="B253" s="14" t="str">
        <f>IF($A253="","",'Item Master'!C253)</f>
        <v/>
      </c>
      <c r="C253" s="14" t="str">
        <f>IF($A253="","",'Item Master'!G253)</f>
        <v/>
      </c>
      <c r="D253" s="19" t="str">
        <f>IF($A253="","",SUMIFS('Stock OUT (Issue)'!$G$3:$G$302,'Stock OUT (Issue)'!$D$3:$D$302,$A253,'Stock OUT (Issue)'!$C$3:$C$302,"JOB-01"))</f>
        <v/>
      </c>
      <c r="E253" s="19" t="str">
        <f>IF($A253="","",SUMIFS('Stock OUT (Issue)'!$G$3:$G$302,'Stock OUT (Issue)'!$D$3:$D$302,$A253,'Stock OUT (Issue)'!$C$3:$C$302,"JOB-02"))</f>
        <v/>
      </c>
      <c r="F253" s="19" t="str">
        <f>IF($A253="","",SUMIFS('Stock OUT (Issue)'!$G$3:$G$302,'Stock OUT (Issue)'!$D$3:$D$302,$A253,'Stock OUT (Issue)'!$C$3:$C$302,"JOB-03"))</f>
        <v/>
      </c>
      <c r="G253" s="19" t="str">
        <f>IF($A253="","",SUMIFS('Stock OUT (Issue)'!$G$3:$G$302,'Stock OUT (Issue)'!$D$3:$D$302,$A253,'Stock OUT (Issue)'!$C$3:$C$302,"JOB-04"))</f>
        <v/>
      </c>
      <c r="H253" s="19" t="str">
        <f>IF($A253="","",SUMIFS('Stock OUT (Issue)'!$G$3:$G$302,'Stock OUT (Issue)'!$D$3:$D$302,$A253,'Stock OUT (Issue)'!$C$3:$C$302,"JOB-05"))</f>
        <v/>
      </c>
      <c r="I253" s="19" t="str">
        <f t="shared" si="1"/>
        <v/>
      </c>
    </row>
    <row r="254" ht="15.75" customHeight="1">
      <c r="A254" s="14" t="str">
        <f>IF('Item Master'!B254="","",'Item Master'!B254)</f>
        <v/>
      </c>
      <c r="B254" s="14" t="str">
        <f>IF($A254="","",'Item Master'!C254)</f>
        <v/>
      </c>
      <c r="C254" s="14" t="str">
        <f>IF($A254="","",'Item Master'!G254)</f>
        <v/>
      </c>
      <c r="D254" s="19" t="str">
        <f>IF($A254="","",SUMIFS('Stock OUT (Issue)'!$G$3:$G$302,'Stock OUT (Issue)'!$D$3:$D$302,$A254,'Stock OUT (Issue)'!$C$3:$C$302,"JOB-01"))</f>
        <v/>
      </c>
      <c r="E254" s="19" t="str">
        <f>IF($A254="","",SUMIFS('Stock OUT (Issue)'!$G$3:$G$302,'Stock OUT (Issue)'!$D$3:$D$302,$A254,'Stock OUT (Issue)'!$C$3:$C$302,"JOB-02"))</f>
        <v/>
      </c>
      <c r="F254" s="19" t="str">
        <f>IF($A254="","",SUMIFS('Stock OUT (Issue)'!$G$3:$G$302,'Stock OUT (Issue)'!$D$3:$D$302,$A254,'Stock OUT (Issue)'!$C$3:$C$302,"JOB-03"))</f>
        <v/>
      </c>
      <c r="G254" s="19" t="str">
        <f>IF($A254="","",SUMIFS('Stock OUT (Issue)'!$G$3:$G$302,'Stock OUT (Issue)'!$D$3:$D$302,$A254,'Stock OUT (Issue)'!$C$3:$C$302,"JOB-04"))</f>
        <v/>
      </c>
      <c r="H254" s="19" t="str">
        <f>IF($A254="","",SUMIFS('Stock OUT (Issue)'!$G$3:$G$302,'Stock OUT (Issue)'!$D$3:$D$302,$A254,'Stock OUT (Issue)'!$C$3:$C$302,"JOB-05"))</f>
        <v/>
      </c>
      <c r="I254" s="19" t="str">
        <f t="shared" si="1"/>
        <v/>
      </c>
    </row>
    <row r="255" ht="15.75" customHeight="1">
      <c r="A255" s="14" t="str">
        <f>IF('Item Master'!B255="","",'Item Master'!B255)</f>
        <v/>
      </c>
      <c r="B255" s="14" t="str">
        <f>IF($A255="","",'Item Master'!C255)</f>
        <v/>
      </c>
      <c r="C255" s="14" t="str">
        <f>IF($A255="","",'Item Master'!G255)</f>
        <v/>
      </c>
      <c r="D255" s="19" t="str">
        <f>IF($A255="","",SUMIFS('Stock OUT (Issue)'!$G$3:$G$302,'Stock OUT (Issue)'!$D$3:$D$302,$A255,'Stock OUT (Issue)'!$C$3:$C$302,"JOB-01"))</f>
        <v/>
      </c>
      <c r="E255" s="19" t="str">
        <f>IF($A255="","",SUMIFS('Stock OUT (Issue)'!$G$3:$G$302,'Stock OUT (Issue)'!$D$3:$D$302,$A255,'Stock OUT (Issue)'!$C$3:$C$302,"JOB-02"))</f>
        <v/>
      </c>
      <c r="F255" s="19" t="str">
        <f>IF($A255="","",SUMIFS('Stock OUT (Issue)'!$G$3:$G$302,'Stock OUT (Issue)'!$D$3:$D$302,$A255,'Stock OUT (Issue)'!$C$3:$C$302,"JOB-03"))</f>
        <v/>
      </c>
      <c r="G255" s="19" t="str">
        <f>IF($A255="","",SUMIFS('Stock OUT (Issue)'!$G$3:$G$302,'Stock OUT (Issue)'!$D$3:$D$302,$A255,'Stock OUT (Issue)'!$C$3:$C$302,"JOB-04"))</f>
        <v/>
      </c>
      <c r="H255" s="19" t="str">
        <f>IF($A255="","",SUMIFS('Stock OUT (Issue)'!$G$3:$G$302,'Stock OUT (Issue)'!$D$3:$D$302,$A255,'Stock OUT (Issue)'!$C$3:$C$302,"JOB-05"))</f>
        <v/>
      </c>
      <c r="I255" s="19" t="str">
        <f t="shared" si="1"/>
        <v/>
      </c>
    </row>
    <row r="256" ht="15.75" customHeight="1">
      <c r="A256" s="14" t="str">
        <f>IF('Item Master'!B256="","",'Item Master'!B256)</f>
        <v/>
      </c>
      <c r="B256" s="14" t="str">
        <f>IF($A256="","",'Item Master'!C256)</f>
        <v/>
      </c>
      <c r="C256" s="14" t="str">
        <f>IF($A256="","",'Item Master'!G256)</f>
        <v/>
      </c>
      <c r="D256" s="19" t="str">
        <f>IF($A256="","",SUMIFS('Stock OUT (Issue)'!$G$3:$G$302,'Stock OUT (Issue)'!$D$3:$D$302,$A256,'Stock OUT (Issue)'!$C$3:$C$302,"JOB-01"))</f>
        <v/>
      </c>
      <c r="E256" s="19" t="str">
        <f>IF($A256="","",SUMIFS('Stock OUT (Issue)'!$G$3:$G$302,'Stock OUT (Issue)'!$D$3:$D$302,$A256,'Stock OUT (Issue)'!$C$3:$C$302,"JOB-02"))</f>
        <v/>
      </c>
      <c r="F256" s="19" t="str">
        <f>IF($A256="","",SUMIFS('Stock OUT (Issue)'!$G$3:$G$302,'Stock OUT (Issue)'!$D$3:$D$302,$A256,'Stock OUT (Issue)'!$C$3:$C$302,"JOB-03"))</f>
        <v/>
      </c>
      <c r="G256" s="19" t="str">
        <f>IF($A256="","",SUMIFS('Stock OUT (Issue)'!$G$3:$G$302,'Stock OUT (Issue)'!$D$3:$D$302,$A256,'Stock OUT (Issue)'!$C$3:$C$302,"JOB-04"))</f>
        <v/>
      </c>
      <c r="H256" s="19" t="str">
        <f>IF($A256="","",SUMIFS('Stock OUT (Issue)'!$G$3:$G$302,'Stock OUT (Issue)'!$D$3:$D$302,$A256,'Stock OUT (Issue)'!$C$3:$C$302,"JOB-05"))</f>
        <v/>
      </c>
      <c r="I256" s="19" t="str">
        <f t="shared" si="1"/>
        <v/>
      </c>
    </row>
    <row r="257" ht="15.75" customHeight="1">
      <c r="A257" s="14" t="str">
        <f>IF('Item Master'!B257="","",'Item Master'!B257)</f>
        <v/>
      </c>
      <c r="B257" s="14" t="str">
        <f>IF($A257="","",'Item Master'!C257)</f>
        <v/>
      </c>
      <c r="C257" s="14" t="str">
        <f>IF($A257="","",'Item Master'!G257)</f>
        <v/>
      </c>
      <c r="D257" s="19" t="str">
        <f>IF($A257="","",SUMIFS('Stock OUT (Issue)'!$G$3:$G$302,'Stock OUT (Issue)'!$D$3:$D$302,$A257,'Stock OUT (Issue)'!$C$3:$C$302,"JOB-01"))</f>
        <v/>
      </c>
      <c r="E257" s="19" t="str">
        <f>IF($A257="","",SUMIFS('Stock OUT (Issue)'!$G$3:$G$302,'Stock OUT (Issue)'!$D$3:$D$302,$A257,'Stock OUT (Issue)'!$C$3:$C$302,"JOB-02"))</f>
        <v/>
      </c>
      <c r="F257" s="19" t="str">
        <f>IF($A257="","",SUMIFS('Stock OUT (Issue)'!$G$3:$G$302,'Stock OUT (Issue)'!$D$3:$D$302,$A257,'Stock OUT (Issue)'!$C$3:$C$302,"JOB-03"))</f>
        <v/>
      </c>
      <c r="G257" s="19" t="str">
        <f>IF($A257="","",SUMIFS('Stock OUT (Issue)'!$G$3:$G$302,'Stock OUT (Issue)'!$D$3:$D$302,$A257,'Stock OUT (Issue)'!$C$3:$C$302,"JOB-04"))</f>
        <v/>
      </c>
      <c r="H257" s="19" t="str">
        <f>IF($A257="","",SUMIFS('Stock OUT (Issue)'!$G$3:$G$302,'Stock OUT (Issue)'!$D$3:$D$302,$A257,'Stock OUT (Issue)'!$C$3:$C$302,"JOB-05"))</f>
        <v/>
      </c>
      <c r="I257" s="19" t="str">
        <f t="shared" si="1"/>
        <v/>
      </c>
    </row>
    <row r="258" ht="15.75" customHeight="1">
      <c r="A258" s="14" t="str">
        <f>IF('Item Master'!B258="","",'Item Master'!B258)</f>
        <v/>
      </c>
      <c r="B258" s="14" t="str">
        <f>IF($A258="","",'Item Master'!C258)</f>
        <v/>
      </c>
      <c r="C258" s="14" t="str">
        <f>IF($A258="","",'Item Master'!G258)</f>
        <v/>
      </c>
      <c r="D258" s="19" t="str">
        <f>IF($A258="","",SUMIFS('Stock OUT (Issue)'!$G$3:$G$302,'Stock OUT (Issue)'!$D$3:$D$302,$A258,'Stock OUT (Issue)'!$C$3:$C$302,"JOB-01"))</f>
        <v/>
      </c>
      <c r="E258" s="19" t="str">
        <f>IF($A258="","",SUMIFS('Stock OUT (Issue)'!$G$3:$G$302,'Stock OUT (Issue)'!$D$3:$D$302,$A258,'Stock OUT (Issue)'!$C$3:$C$302,"JOB-02"))</f>
        <v/>
      </c>
      <c r="F258" s="19" t="str">
        <f>IF($A258="","",SUMIFS('Stock OUT (Issue)'!$G$3:$G$302,'Stock OUT (Issue)'!$D$3:$D$302,$A258,'Stock OUT (Issue)'!$C$3:$C$302,"JOB-03"))</f>
        <v/>
      </c>
      <c r="G258" s="19" t="str">
        <f>IF($A258="","",SUMIFS('Stock OUT (Issue)'!$G$3:$G$302,'Stock OUT (Issue)'!$D$3:$D$302,$A258,'Stock OUT (Issue)'!$C$3:$C$302,"JOB-04"))</f>
        <v/>
      </c>
      <c r="H258" s="19" t="str">
        <f>IF($A258="","",SUMIFS('Stock OUT (Issue)'!$G$3:$G$302,'Stock OUT (Issue)'!$D$3:$D$302,$A258,'Stock OUT (Issue)'!$C$3:$C$302,"JOB-05"))</f>
        <v/>
      </c>
      <c r="I258" s="19" t="str">
        <f t="shared" si="1"/>
        <v/>
      </c>
    </row>
    <row r="259" ht="15.75" customHeight="1">
      <c r="A259" s="14" t="str">
        <f>IF('Item Master'!B259="","",'Item Master'!B259)</f>
        <v/>
      </c>
      <c r="B259" s="14" t="str">
        <f>IF($A259="","",'Item Master'!C259)</f>
        <v/>
      </c>
      <c r="C259" s="14" t="str">
        <f>IF($A259="","",'Item Master'!G259)</f>
        <v/>
      </c>
      <c r="D259" s="19" t="str">
        <f>IF($A259="","",SUMIFS('Stock OUT (Issue)'!$G$3:$G$302,'Stock OUT (Issue)'!$D$3:$D$302,$A259,'Stock OUT (Issue)'!$C$3:$C$302,"JOB-01"))</f>
        <v/>
      </c>
      <c r="E259" s="19" t="str">
        <f>IF($A259="","",SUMIFS('Stock OUT (Issue)'!$G$3:$G$302,'Stock OUT (Issue)'!$D$3:$D$302,$A259,'Stock OUT (Issue)'!$C$3:$C$302,"JOB-02"))</f>
        <v/>
      </c>
      <c r="F259" s="19" t="str">
        <f>IF($A259="","",SUMIFS('Stock OUT (Issue)'!$G$3:$G$302,'Stock OUT (Issue)'!$D$3:$D$302,$A259,'Stock OUT (Issue)'!$C$3:$C$302,"JOB-03"))</f>
        <v/>
      </c>
      <c r="G259" s="19" t="str">
        <f>IF($A259="","",SUMIFS('Stock OUT (Issue)'!$G$3:$G$302,'Stock OUT (Issue)'!$D$3:$D$302,$A259,'Stock OUT (Issue)'!$C$3:$C$302,"JOB-04"))</f>
        <v/>
      </c>
      <c r="H259" s="19" t="str">
        <f>IF($A259="","",SUMIFS('Stock OUT (Issue)'!$G$3:$G$302,'Stock OUT (Issue)'!$D$3:$D$302,$A259,'Stock OUT (Issue)'!$C$3:$C$302,"JOB-05"))</f>
        <v/>
      </c>
      <c r="I259" s="19" t="str">
        <f t="shared" si="1"/>
        <v/>
      </c>
    </row>
    <row r="260" ht="15.75" customHeight="1">
      <c r="A260" s="14" t="str">
        <f>IF('Item Master'!B260="","",'Item Master'!B260)</f>
        <v/>
      </c>
      <c r="B260" s="14" t="str">
        <f>IF($A260="","",'Item Master'!C260)</f>
        <v/>
      </c>
      <c r="C260" s="14" t="str">
        <f>IF($A260="","",'Item Master'!G260)</f>
        <v/>
      </c>
      <c r="D260" s="19" t="str">
        <f>IF($A260="","",SUMIFS('Stock OUT (Issue)'!$G$3:$G$302,'Stock OUT (Issue)'!$D$3:$D$302,$A260,'Stock OUT (Issue)'!$C$3:$C$302,"JOB-01"))</f>
        <v/>
      </c>
      <c r="E260" s="19" t="str">
        <f>IF($A260="","",SUMIFS('Stock OUT (Issue)'!$G$3:$G$302,'Stock OUT (Issue)'!$D$3:$D$302,$A260,'Stock OUT (Issue)'!$C$3:$C$302,"JOB-02"))</f>
        <v/>
      </c>
      <c r="F260" s="19" t="str">
        <f>IF($A260="","",SUMIFS('Stock OUT (Issue)'!$G$3:$G$302,'Stock OUT (Issue)'!$D$3:$D$302,$A260,'Stock OUT (Issue)'!$C$3:$C$302,"JOB-03"))</f>
        <v/>
      </c>
      <c r="G260" s="19" t="str">
        <f>IF($A260="","",SUMIFS('Stock OUT (Issue)'!$G$3:$G$302,'Stock OUT (Issue)'!$D$3:$D$302,$A260,'Stock OUT (Issue)'!$C$3:$C$302,"JOB-04"))</f>
        <v/>
      </c>
      <c r="H260" s="19" t="str">
        <f>IF($A260="","",SUMIFS('Stock OUT (Issue)'!$G$3:$G$302,'Stock OUT (Issue)'!$D$3:$D$302,$A260,'Stock OUT (Issue)'!$C$3:$C$302,"JOB-05"))</f>
        <v/>
      </c>
      <c r="I260" s="19" t="str">
        <f t="shared" si="1"/>
        <v/>
      </c>
    </row>
    <row r="261" ht="15.75" customHeight="1">
      <c r="A261" s="14" t="str">
        <f>IF('Item Master'!B261="","",'Item Master'!B261)</f>
        <v/>
      </c>
      <c r="B261" s="14" t="str">
        <f>IF($A261="","",'Item Master'!C261)</f>
        <v/>
      </c>
      <c r="C261" s="14" t="str">
        <f>IF($A261="","",'Item Master'!G261)</f>
        <v/>
      </c>
      <c r="D261" s="19" t="str">
        <f>IF($A261="","",SUMIFS('Stock OUT (Issue)'!$G$3:$G$302,'Stock OUT (Issue)'!$D$3:$D$302,$A261,'Stock OUT (Issue)'!$C$3:$C$302,"JOB-01"))</f>
        <v/>
      </c>
      <c r="E261" s="19" t="str">
        <f>IF($A261="","",SUMIFS('Stock OUT (Issue)'!$G$3:$G$302,'Stock OUT (Issue)'!$D$3:$D$302,$A261,'Stock OUT (Issue)'!$C$3:$C$302,"JOB-02"))</f>
        <v/>
      </c>
      <c r="F261" s="19" t="str">
        <f>IF($A261="","",SUMIFS('Stock OUT (Issue)'!$G$3:$G$302,'Stock OUT (Issue)'!$D$3:$D$302,$A261,'Stock OUT (Issue)'!$C$3:$C$302,"JOB-03"))</f>
        <v/>
      </c>
      <c r="G261" s="19" t="str">
        <f>IF($A261="","",SUMIFS('Stock OUT (Issue)'!$G$3:$G$302,'Stock OUT (Issue)'!$D$3:$D$302,$A261,'Stock OUT (Issue)'!$C$3:$C$302,"JOB-04"))</f>
        <v/>
      </c>
      <c r="H261" s="19" t="str">
        <f>IF($A261="","",SUMIFS('Stock OUT (Issue)'!$G$3:$G$302,'Stock OUT (Issue)'!$D$3:$D$302,$A261,'Stock OUT (Issue)'!$C$3:$C$302,"JOB-05"))</f>
        <v/>
      </c>
      <c r="I261" s="19" t="str">
        <f t="shared" si="1"/>
        <v/>
      </c>
    </row>
    <row r="262" ht="15.75" customHeight="1">
      <c r="A262" s="14" t="str">
        <f>IF('Item Master'!B262="","",'Item Master'!B262)</f>
        <v/>
      </c>
      <c r="B262" s="14" t="str">
        <f>IF($A262="","",'Item Master'!C262)</f>
        <v/>
      </c>
      <c r="C262" s="14" t="str">
        <f>IF($A262="","",'Item Master'!G262)</f>
        <v/>
      </c>
      <c r="D262" s="19" t="str">
        <f>IF($A262="","",SUMIFS('Stock OUT (Issue)'!$G$3:$G$302,'Stock OUT (Issue)'!$D$3:$D$302,$A262,'Stock OUT (Issue)'!$C$3:$C$302,"JOB-01"))</f>
        <v/>
      </c>
      <c r="E262" s="19" t="str">
        <f>IF($A262="","",SUMIFS('Stock OUT (Issue)'!$G$3:$G$302,'Stock OUT (Issue)'!$D$3:$D$302,$A262,'Stock OUT (Issue)'!$C$3:$C$302,"JOB-02"))</f>
        <v/>
      </c>
      <c r="F262" s="19" t="str">
        <f>IF($A262="","",SUMIFS('Stock OUT (Issue)'!$G$3:$G$302,'Stock OUT (Issue)'!$D$3:$D$302,$A262,'Stock OUT (Issue)'!$C$3:$C$302,"JOB-03"))</f>
        <v/>
      </c>
      <c r="G262" s="19" t="str">
        <f>IF($A262="","",SUMIFS('Stock OUT (Issue)'!$G$3:$G$302,'Stock OUT (Issue)'!$D$3:$D$302,$A262,'Stock OUT (Issue)'!$C$3:$C$302,"JOB-04"))</f>
        <v/>
      </c>
      <c r="H262" s="19" t="str">
        <f>IF($A262="","",SUMIFS('Stock OUT (Issue)'!$G$3:$G$302,'Stock OUT (Issue)'!$D$3:$D$302,$A262,'Stock OUT (Issue)'!$C$3:$C$302,"JOB-05"))</f>
        <v/>
      </c>
      <c r="I262" s="19" t="str">
        <f t="shared" si="1"/>
        <v/>
      </c>
    </row>
    <row r="263" ht="15.75" customHeight="1">
      <c r="A263" s="14" t="str">
        <f>IF('Item Master'!B263="","",'Item Master'!B263)</f>
        <v/>
      </c>
      <c r="B263" s="14" t="str">
        <f>IF($A263="","",'Item Master'!C263)</f>
        <v/>
      </c>
      <c r="C263" s="14" t="str">
        <f>IF($A263="","",'Item Master'!G263)</f>
        <v/>
      </c>
      <c r="D263" s="19" t="str">
        <f>IF($A263="","",SUMIFS('Stock OUT (Issue)'!$G$3:$G$302,'Stock OUT (Issue)'!$D$3:$D$302,$A263,'Stock OUT (Issue)'!$C$3:$C$302,"JOB-01"))</f>
        <v/>
      </c>
      <c r="E263" s="19" t="str">
        <f>IF($A263="","",SUMIFS('Stock OUT (Issue)'!$G$3:$G$302,'Stock OUT (Issue)'!$D$3:$D$302,$A263,'Stock OUT (Issue)'!$C$3:$C$302,"JOB-02"))</f>
        <v/>
      </c>
      <c r="F263" s="19" t="str">
        <f>IF($A263="","",SUMIFS('Stock OUT (Issue)'!$G$3:$G$302,'Stock OUT (Issue)'!$D$3:$D$302,$A263,'Stock OUT (Issue)'!$C$3:$C$302,"JOB-03"))</f>
        <v/>
      </c>
      <c r="G263" s="19" t="str">
        <f>IF($A263="","",SUMIFS('Stock OUT (Issue)'!$G$3:$G$302,'Stock OUT (Issue)'!$D$3:$D$302,$A263,'Stock OUT (Issue)'!$C$3:$C$302,"JOB-04"))</f>
        <v/>
      </c>
      <c r="H263" s="19" t="str">
        <f>IF($A263="","",SUMIFS('Stock OUT (Issue)'!$G$3:$G$302,'Stock OUT (Issue)'!$D$3:$D$302,$A263,'Stock OUT (Issue)'!$C$3:$C$302,"JOB-05"))</f>
        <v/>
      </c>
      <c r="I263" s="19" t="str">
        <f t="shared" si="1"/>
        <v/>
      </c>
    </row>
    <row r="264" ht="15.75" customHeight="1">
      <c r="A264" s="14" t="str">
        <f>IF('Item Master'!B264="","",'Item Master'!B264)</f>
        <v/>
      </c>
      <c r="B264" s="14" t="str">
        <f>IF($A264="","",'Item Master'!C264)</f>
        <v/>
      </c>
      <c r="C264" s="14" t="str">
        <f>IF($A264="","",'Item Master'!G264)</f>
        <v/>
      </c>
      <c r="D264" s="19" t="str">
        <f>IF($A264="","",SUMIFS('Stock OUT (Issue)'!$G$3:$G$302,'Stock OUT (Issue)'!$D$3:$D$302,$A264,'Stock OUT (Issue)'!$C$3:$C$302,"JOB-01"))</f>
        <v/>
      </c>
      <c r="E264" s="19" t="str">
        <f>IF($A264="","",SUMIFS('Stock OUT (Issue)'!$G$3:$G$302,'Stock OUT (Issue)'!$D$3:$D$302,$A264,'Stock OUT (Issue)'!$C$3:$C$302,"JOB-02"))</f>
        <v/>
      </c>
      <c r="F264" s="19" t="str">
        <f>IF($A264="","",SUMIFS('Stock OUT (Issue)'!$G$3:$G$302,'Stock OUT (Issue)'!$D$3:$D$302,$A264,'Stock OUT (Issue)'!$C$3:$C$302,"JOB-03"))</f>
        <v/>
      </c>
      <c r="G264" s="19" t="str">
        <f>IF($A264="","",SUMIFS('Stock OUT (Issue)'!$G$3:$G$302,'Stock OUT (Issue)'!$D$3:$D$302,$A264,'Stock OUT (Issue)'!$C$3:$C$302,"JOB-04"))</f>
        <v/>
      </c>
      <c r="H264" s="19" t="str">
        <f>IF($A264="","",SUMIFS('Stock OUT (Issue)'!$G$3:$G$302,'Stock OUT (Issue)'!$D$3:$D$302,$A264,'Stock OUT (Issue)'!$C$3:$C$302,"JOB-05"))</f>
        <v/>
      </c>
      <c r="I264" s="19" t="str">
        <f t="shared" si="1"/>
        <v/>
      </c>
    </row>
    <row r="265" ht="15.75" customHeight="1">
      <c r="A265" s="14" t="str">
        <f>IF('Item Master'!B265="","",'Item Master'!B265)</f>
        <v/>
      </c>
      <c r="B265" s="14" t="str">
        <f>IF($A265="","",'Item Master'!C265)</f>
        <v/>
      </c>
      <c r="C265" s="14" t="str">
        <f>IF($A265="","",'Item Master'!G265)</f>
        <v/>
      </c>
      <c r="D265" s="19" t="str">
        <f>IF($A265="","",SUMIFS('Stock OUT (Issue)'!$G$3:$G$302,'Stock OUT (Issue)'!$D$3:$D$302,$A265,'Stock OUT (Issue)'!$C$3:$C$302,"JOB-01"))</f>
        <v/>
      </c>
      <c r="E265" s="19" t="str">
        <f>IF($A265="","",SUMIFS('Stock OUT (Issue)'!$G$3:$G$302,'Stock OUT (Issue)'!$D$3:$D$302,$A265,'Stock OUT (Issue)'!$C$3:$C$302,"JOB-02"))</f>
        <v/>
      </c>
      <c r="F265" s="19" t="str">
        <f>IF($A265="","",SUMIFS('Stock OUT (Issue)'!$G$3:$G$302,'Stock OUT (Issue)'!$D$3:$D$302,$A265,'Stock OUT (Issue)'!$C$3:$C$302,"JOB-03"))</f>
        <v/>
      </c>
      <c r="G265" s="19" t="str">
        <f>IF($A265="","",SUMIFS('Stock OUT (Issue)'!$G$3:$G$302,'Stock OUT (Issue)'!$D$3:$D$302,$A265,'Stock OUT (Issue)'!$C$3:$C$302,"JOB-04"))</f>
        <v/>
      </c>
      <c r="H265" s="19" t="str">
        <f>IF($A265="","",SUMIFS('Stock OUT (Issue)'!$G$3:$G$302,'Stock OUT (Issue)'!$D$3:$D$302,$A265,'Stock OUT (Issue)'!$C$3:$C$302,"JOB-05"))</f>
        <v/>
      </c>
      <c r="I265" s="19" t="str">
        <f t="shared" si="1"/>
        <v/>
      </c>
    </row>
    <row r="266" ht="15.75" customHeight="1">
      <c r="A266" s="14" t="str">
        <f>IF('Item Master'!B266="","",'Item Master'!B266)</f>
        <v/>
      </c>
      <c r="B266" s="14" t="str">
        <f>IF($A266="","",'Item Master'!C266)</f>
        <v/>
      </c>
      <c r="C266" s="14" t="str">
        <f>IF($A266="","",'Item Master'!G266)</f>
        <v/>
      </c>
      <c r="D266" s="19" t="str">
        <f>IF($A266="","",SUMIFS('Stock OUT (Issue)'!$G$3:$G$302,'Stock OUT (Issue)'!$D$3:$D$302,$A266,'Stock OUT (Issue)'!$C$3:$C$302,"JOB-01"))</f>
        <v/>
      </c>
      <c r="E266" s="19" t="str">
        <f>IF($A266="","",SUMIFS('Stock OUT (Issue)'!$G$3:$G$302,'Stock OUT (Issue)'!$D$3:$D$302,$A266,'Stock OUT (Issue)'!$C$3:$C$302,"JOB-02"))</f>
        <v/>
      </c>
      <c r="F266" s="19" t="str">
        <f>IF($A266="","",SUMIFS('Stock OUT (Issue)'!$G$3:$G$302,'Stock OUT (Issue)'!$D$3:$D$302,$A266,'Stock OUT (Issue)'!$C$3:$C$302,"JOB-03"))</f>
        <v/>
      </c>
      <c r="G266" s="19" t="str">
        <f>IF($A266="","",SUMIFS('Stock OUT (Issue)'!$G$3:$G$302,'Stock OUT (Issue)'!$D$3:$D$302,$A266,'Stock OUT (Issue)'!$C$3:$C$302,"JOB-04"))</f>
        <v/>
      </c>
      <c r="H266" s="19" t="str">
        <f>IF($A266="","",SUMIFS('Stock OUT (Issue)'!$G$3:$G$302,'Stock OUT (Issue)'!$D$3:$D$302,$A266,'Stock OUT (Issue)'!$C$3:$C$302,"JOB-05"))</f>
        <v/>
      </c>
      <c r="I266" s="19" t="str">
        <f t="shared" si="1"/>
        <v/>
      </c>
    </row>
    <row r="267" ht="15.75" customHeight="1">
      <c r="A267" s="14" t="str">
        <f>IF('Item Master'!B267="","",'Item Master'!B267)</f>
        <v/>
      </c>
      <c r="B267" s="14" t="str">
        <f>IF($A267="","",'Item Master'!C267)</f>
        <v/>
      </c>
      <c r="C267" s="14" t="str">
        <f>IF($A267="","",'Item Master'!G267)</f>
        <v/>
      </c>
      <c r="D267" s="19" t="str">
        <f>IF($A267="","",SUMIFS('Stock OUT (Issue)'!$G$3:$G$302,'Stock OUT (Issue)'!$D$3:$D$302,$A267,'Stock OUT (Issue)'!$C$3:$C$302,"JOB-01"))</f>
        <v/>
      </c>
      <c r="E267" s="19" t="str">
        <f>IF($A267="","",SUMIFS('Stock OUT (Issue)'!$G$3:$G$302,'Stock OUT (Issue)'!$D$3:$D$302,$A267,'Stock OUT (Issue)'!$C$3:$C$302,"JOB-02"))</f>
        <v/>
      </c>
      <c r="F267" s="19" t="str">
        <f>IF($A267="","",SUMIFS('Stock OUT (Issue)'!$G$3:$G$302,'Stock OUT (Issue)'!$D$3:$D$302,$A267,'Stock OUT (Issue)'!$C$3:$C$302,"JOB-03"))</f>
        <v/>
      </c>
      <c r="G267" s="19" t="str">
        <f>IF($A267="","",SUMIFS('Stock OUT (Issue)'!$G$3:$G$302,'Stock OUT (Issue)'!$D$3:$D$302,$A267,'Stock OUT (Issue)'!$C$3:$C$302,"JOB-04"))</f>
        <v/>
      </c>
      <c r="H267" s="19" t="str">
        <f>IF($A267="","",SUMIFS('Stock OUT (Issue)'!$G$3:$G$302,'Stock OUT (Issue)'!$D$3:$D$302,$A267,'Stock OUT (Issue)'!$C$3:$C$302,"JOB-05"))</f>
        <v/>
      </c>
      <c r="I267" s="19" t="str">
        <f t="shared" si="1"/>
        <v/>
      </c>
    </row>
    <row r="268" ht="15.75" customHeight="1">
      <c r="A268" s="14" t="str">
        <f>IF('Item Master'!B268="","",'Item Master'!B268)</f>
        <v/>
      </c>
      <c r="B268" s="14" t="str">
        <f>IF($A268="","",'Item Master'!C268)</f>
        <v/>
      </c>
      <c r="C268" s="14" t="str">
        <f>IF($A268="","",'Item Master'!G268)</f>
        <v/>
      </c>
      <c r="D268" s="19" t="str">
        <f>IF($A268="","",SUMIFS('Stock OUT (Issue)'!$G$3:$G$302,'Stock OUT (Issue)'!$D$3:$D$302,$A268,'Stock OUT (Issue)'!$C$3:$C$302,"JOB-01"))</f>
        <v/>
      </c>
      <c r="E268" s="19" t="str">
        <f>IF($A268="","",SUMIFS('Stock OUT (Issue)'!$G$3:$G$302,'Stock OUT (Issue)'!$D$3:$D$302,$A268,'Stock OUT (Issue)'!$C$3:$C$302,"JOB-02"))</f>
        <v/>
      </c>
      <c r="F268" s="19" t="str">
        <f>IF($A268="","",SUMIFS('Stock OUT (Issue)'!$G$3:$G$302,'Stock OUT (Issue)'!$D$3:$D$302,$A268,'Stock OUT (Issue)'!$C$3:$C$302,"JOB-03"))</f>
        <v/>
      </c>
      <c r="G268" s="19" t="str">
        <f>IF($A268="","",SUMIFS('Stock OUT (Issue)'!$G$3:$G$302,'Stock OUT (Issue)'!$D$3:$D$302,$A268,'Stock OUT (Issue)'!$C$3:$C$302,"JOB-04"))</f>
        <v/>
      </c>
      <c r="H268" s="19" t="str">
        <f>IF($A268="","",SUMIFS('Stock OUT (Issue)'!$G$3:$G$302,'Stock OUT (Issue)'!$D$3:$D$302,$A268,'Stock OUT (Issue)'!$C$3:$C$302,"JOB-05"))</f>
        <v/>
      </c>
      <c r="I268" s="19" t="str">
        <f t="shared" si="1"/>
        <v/>
      </c>
    </row>
    <row r="269" ht="15.75" customHeight="1">
      <c r="A269" s="14" t="str">
        <f>IF('Item Master'!B269="","",'Item Master'!B269)</f>
        <v/>
      </c>
      <c r="B269" s="14" t="str">
        <f>IF($A269="","",'Item Master'!C269)</f>
        <v/>
      </c>
      <c r="C269" s="14" t="str">
        <f>IF($A269="","",'Item Master'!G269)</f>
        <v/>
      </c>
      <c r="D269" s="19" t="str">
        <f>IF($A269="","",SUMIFS('Stock OUT (Issue)'!$G$3:$G$302,'Stock OUT (Issue)'!$D$3:$D$302,$A269,'Stock OUT (Issue)'!$C$3:$C$302,"JOB-01"))</f>
        <v/>
      </c>
      <c r="E269" s="19" t="str">
        <f>IF($A269="","",SUMIFS('Stock OUT (Issue)'!$G$3:$G$302,'Stock OUT (Issue)'!$D$3:$D$302,$A269,'Stock OUT (Issue)'!$C$3:$C$302,"JOB-02"))</f>
        <v/>
      </c>
      <c r="F269" s="19" t="str">
        <f>IF($A269="","",SUMIFS('Stock OUT (Issue)'!$G$3:$G$302,'Stock OUT (Issue)'!$D$3:$D$302,$A269,'Stock OUT (Issue)'!$C$3:$C$302,"JOB-03"))</f>
        <v/>
      </c>
      <c r="G269" s="19" t="str">
        <f>IF($A269="","",SUMIFS('Stock OUT (Issue)'!$G$3:$G$302,'Stock OUT (Issue)'!$D$3:$D$302,$A269,'Stock OUT (Issue)'!$C$3:$C$302,"JOB-04"))</f>
        <v/>
      </c>
      <c r="H269" s="19" t="str">
        <f>IF($A269="","",SUMIFS('Stock OUT (Issue)'!$G$3:$G$302,'Stock OUT (Issue)'!$D$3:$D$302,$A269,'Stock OUT (Issue)'!$C$3:$C$302,"JOB-05"))</f>
        <v/>
      </c>
      <c r="I269" s="19" t="str">
        <f t="shared" si="1"/>
        <v/>
      </c>
    </row>
    <row r="270" ht="15.75" customHeight="1">
      <c r="A270" s="14" t="str">
        <f>IF('Item Master'!B270="","",'Item Master'!B270)</f>
        <v/>
      </c>
      <c r="B270" s="14" t="str">
        <f>IF($A270="","",'Item Master'!C270)</f>
        <v/>
      </c>
      <c r="C270" s="14" t="str">
        <f>IF($A270="","",'Item Master'!G270)</f>
        <v/>
      </c>
      <c r="D270" s="19" t="str">
        <f>IF($A270="","",SUMIFS('Stock OUT (Issue)'!$G$3:$G$302,'Stock OUT (Issue)'!$D$3:$D$302,$A270,'Stock OUT (Issue)'!$C$3:$C$302,"JOB-01"))</f>
        <v/>
      </c>
      <c r="E270" s="19" t="str">
        <f>IF($A270="","",SUMIFS('Stock OUT (Issue)'!$G$3:$G$302,'Stock OUT (Issue)'!$D$3:$D$302,$A270,'Stock OUT (Issue)'!$C$3:$C$302,"JOB-02"))</f>
        <v/>
      </c>
      <c r="F270" s="19" t="str">
        <f>IF($A270="","",SUMIFS('Stock OUT (Issue)'!$G$3:$G$302,'Stock OUT (Issue)'!$D$3:$D$302,$A270,'Stock OUT (Issue)'!$C$3:$C$302,"JOB-03"))</f>
        <v/>
      </c>
      <c r="G270" s="19" t="str">
        <f>IF($A270="","",SUMIFS('Stock OUT (Issue)'!$G$3:$G$302,'Stock OUT (Issue)'!$D$3:$D$302,$A270,'Stock OUT (Issue)'!$C$3:$C$302,"JOB-04"))</f>
        <v/>
      </c>
      <c r="H270" s="19" t="str">
        <f>IF($A270="","",SUMIFS('Stock OUT (Issue)'!$G$3:$G$302,'Stock OUT (Issue)'!$D$3:$D$302,$A270,'Stock OUT (Issue)'!$C$3:$C$302,"JOB-05"))</f>
        <v/>
      </c>
      <c r="I270" s="19" t="str">
        <f t="shared" si="1"/>
        <v/>
      </c>
    </row>
    <row r="271" ht="15.75" customHeight="1">
      <c r="A271" s="14" t="str">
        <f>IF('Item Master'!B271="","",'Item Master'!B271)</f>
        <v/>
      </c>
      <c r="B271" s="14" t="str">
        <f>IF($A271="","",'Item Master'!C271)</f>
        <v/>
      </c>
      <c r="C271" s="14" t="str">
        <f>IF($A271="","",'Item Master'!G271)</f>
        <v/>
      </c>
      <c r="D271" s="19" t="str">
        <f>IF($A271="","",SUMIFS('Stock OUT (Issue)'!$G$3:$G$302,'Stock OUT (Issue)'!$D$3:$D$302,$A271,'Stock OUT (Issue)'!$C$3:$C$302,"JOB-01"))</f>
        <v/>
      </c>
      <c r="E271" s="19" t="str">
        <f>IF($A271="","",SUMIFS('Stock OUT (Issue)'!$G$3:$G$302,'Stock OUT (Issue)'!$D$3:$D$302,$A271,'Stock OUT (Issue)'!$C$3:$C$302,"JOB-02"))</f>
        <v/>
      </c>
      <c r="F271" s="19" t="str">
        <f>IF($A271="","",SUMIFS('Stock OUT (Issue)'!$G$3:$G$302,'Stock OUT (Issue)'!$D$3:$D$302,$A271,'Stock OUT (Issue)'!$C$3:$C$302,"JOB-03"))</f>
        <v/>
      </c>
      <c r="G271" s="19" t="str">
        <f>IF($A271="","",SUMIFS('Stock OUT (Issue)'!$G$3:$G$302,'Stock OUT (Issue)'!$D$3:$D$302,$A271,'Stock OUT (Issue)'!$C$3:$C$302,"JOB-04"))</f>
        <v/>
      </c>
      <c r="H271" s="19" t="str">
        <f>IF($A271="","",SUMIFS('Stock OUT (Issue)'!$G$3:$G$302,'Stock OUT (Issue)'!$D$3:$D$302,$A271,'Stock OUT (Issue)'!$C$3:$C$302,"JOB-05"))</f>
        <v/>
      </c>
      <c r="I271" s="19" t="str">
        <f t="shared" si="1"/>
        <v/>
      </c>
    </row>
    <row r="272" ht="15.75" customHeight="1">
      <c r="A272" s="14" t="str">
        <f>IF('Item Master'!B272="","",'Item Master'!B272)</f>
        <v/>
      </c>
      <c r="B272" s="14" t="str">
        <f>IF($A272="","",'Item Master'!C272)</f>
        <v/>
      </c>
      <c r="C272" s="14" t="str">
        <f>IF($A272="","",'Item Master'!G272)</f>
        <v/>
      </c>
      <c r="D272" s="19" t="str">
        <f>IF($A272="","",SUMIFS('Stock OUT (Issue)'!$G$3:$G$302,'Stock OUT (Issue)'!$D$3:$D$302,$A272,'Stock OUT (Issue)'!$C$3:$C$302,"JOB-01"))</f>
        <v/>
      </c>
      <c r="E272" s="19" t="str">
        <f>IF($A272="","",SUMIFS('Stock OUT (Issue)'!$G$3:$G$302,'Stock OUT (Issue)'!$D$3:$D$302,$A272,'Stock OUT (Issue)'!$C$3:$C$302,"JOB-02"))</f>
        <v/>
      </c>
      <c r="F272" s="19" t="str">
        <f>IF($A272="","",SUMIFS('Stock OUT (Issue)'!$G$3:$G$302,'Stock OUT (Issue)'!$D$3:$D$302,$A272,'Stock OUT (Issue)'!$C$3:$C$302,"JOB-03"))</f>
        <v/>
      </c>
      <c r="G272" s="19" t="str">
        <f>IF($A272="","",SUMIFS('Stock OUT (Issue)'!$G$3:$G$302,'Stock OUT (Issue)'!$D$3:$D$302,$A272,'Stock OUT (Issue)'!$C$3:$C$302,"JOB-04"))</f>
        <v/>
      </c>
      <c r="H272" s="19" t="str">
        <f>IF($A272="","",SUMIFS('Stock OUT (Issue)'!$G$3:$G$302,'Stock OUT (Issue)'!$D$3:$D$302,$A272,'Stock OUT (Issue)'!$C$3:$C$302,"JOB-05"))</f>
        <v/>
      </c>
      <c r="I272" s="19" t="str">
        <f t="shared" si="1"/>
        <v/>
      </c>
    </row>
    <row r="273" ht="15.75" customHeight="1">
      <c r="A273" s="14" t="str">
        <f>IF('Item Master'!B273="","",'Item Master'!B273)</f>
        <v/>
      </c>
      <c r="B273" s="14" t="str">
        <f>IF($A273="","",'Item Master'!C273)</f>
        <v/>
      </c>
      <c r="C273" s="14" t="str">
        <f>IF($A273="","",'Item Master'!G273)</f>
        <v/>
      </c>
      <c r="D273" s="19" t="str">
        <f>IF($A273="","",SUMIFS('Stock OUT (Issue)'!$G$3:$G$302,'Stock OUT (Issue)'!$D$3:$D$302,$A273,'Stock OUT (Issue)'!$C$3:$C$302,"JOB-01"))</f>
        <v/>
      </c>
      <c r="E273" s="19" t="str">
        <f>IF($A273="","",SUMIFS('Stock OUT (Issue)'!$G$3:$G$302,'Stock OUT (Issue)'!$D$3:$D$302,$A273,'Stock OUT (Issue)'!$C$3:$C$302,"JOB-02"))</f>
        <v/>
      </c>
      <c r="F273" s="19" t="str">
        <f>IF($A273="","",SUMIFS('Stock OUT (Issue)'!$G$3:$G$302,'Stock OUT (Issue)'!$D$3:$D$302,$A273,'Stock OUT (Issue)'!$C$3:$C$302,"JOB-03"))</f>
        <v/>
      </c>
      <c r="G273" s="19" t="str">
        <f>IF($A273="","",SUMIFS('Stock OUT (Issue)'!$G$3:$G$302,'Stock OUT (Issue)'!$D$3:$D$302,$A273,'Stock OUT (Issue)'!$C$3:$C$302,"JOB-04"))</f>
        <v/>
      </c>
      <c r="H273" s="19" t="str">
        <f>IF($A273="","",SUMIFS('Stock OUT (Issue)'!$G$3:$G$302,'Stock OUT (Issue)'!$D$3:$D$302,$A273,'Stock OUT (Issue)'!$C$3:$C$302,"JOB-05"))</f>
        <v/>
      </c>
      <c r="I273" s="19" t="str">
        <f t="shared" si="1"/>
        <v/>
      </c>
    </row>
    <row r="274" ht="15.75" customHeight="1">
      <c r="A274" s="14" t="str">
        <f>IF('Item Master'!B274="","",'Item Master'!B274)</f>
        <v/>
      </c>
      <c r="B274" s="14" t="str">
        <f>IF($A274="","",'Item Master'!C274)</f>
        <v/>
      </c>
      <c r="C274" s="14" t="str">
        <f>IF($A274="","",'Item Master'!G274)</f>
        <v/>
      </c>
      <c r="D274" s="19" t="str">
        <f>IF($A274="","",SUMIFS('Stock OUT (Issue)'!$G$3:$G$302,'Stock OUT (Issue)'!$D$3:$D$302,$A274,'Stock OUT (Issue)'!$C$3:$C$302,"JOB-01"))</f>
        <v/>
      </c>
      <c r="E274" s="19" t="str">
        <f>IF($A274="","",SUMIFS('Stock OUT (Issue)'!$G$3:$G$302,'Stock OUT (Issue)'!$D$3:$D$302,$A274,'Stock OUT (Issue)'!$C$3:$C$302,"JOB-02"))</f>
        <v/>
      </c>
      <c r="F274" s="19" t="str">
        <f>IF($A274="","",SUMIFS('Stock OUT (Issue)'!$G$3:$G$302,'Stock OUT (Issue)'!$D$3:$D$302,$A274,'Stock OUT (Issue)'!$C$3:$C$302,"JOB-03"))</f>
        <v/>
      </c>
      <c r="G274" s="19" t="str">
        <f>IF($A274="","",SUMIFS('Stock OUT (Issue)'!$G$3:$G$302,'Stock OUT (Issue)'!$D$3:$D$302,$A274,'Stock OUT (Issue)'!$C$3:$C$302,"JOB-04"))</f>
        <v/>
      </c>
      <c r="H274" s="19" t="str">
        <f>IF($A274="","",SUMIFS('Stock OUT (Issue)'!$G$3:$G$302,'Stock OUT (Issue)'!$D$3:$D$302,$A274,'Stock OUT (Issue)'!$C$3:$C$302,"JOB-05"))</f>
        <v/>
      </c>
      <c r="I274" s="19" t="str">
        <f t="shared" si="1"/>
        <v/>
      </c>
    </row>
    <row r="275" ht="15.75" customHeight="1">
      <c r="A275" s="14" t="str">
        <f>IF('Item Master'!B275="","",'Item Master'!B275)</f>
        <v/>
      </c>
      <c r="B275" s="14" t="str">
        <f>IF($A275="","",'Item Master'!C275)</f>
        <v/>
      </c>
      <c r="C275" s="14" t="str">
        <f>IF($A275="","",'Item Master'!G275)</f>
        <v/>
      </c>
      <c r="D275" s="19" t="str">
        <f>IF($A275="","",SUMIFS('Stock OUT (Issue)'!$G$3:$G$302,'Stock OUT (Issue)'!$D$3:$D$302,$A275,'Stock OUT (Issue)'!$C$3:$C$302,"JOB-01"))</f>
        <v/>
      </c>
      <c r="E275" s="19" t="str">
        <f>IF($A275="","",SUMIFS('Stock OUT (Issue)'!$G$3:$G$302,'Stock OUT (Issue)'!$D$3:$D$302,$A275,'Stock OUT (Issue)'!$C$3:$C$302,"JOB-02"))</f>
        <v/>
      </c>
      <c r="F275" s="19" t="str">
        <f>IF($A275="","",SUMIFS('Stock OUT (Issue)'!$G$3:$G$302,'Stock OUT (Issue)'!$D$3:$D$302,$A275,'Stock OUT (Issue)'!$C$3:$C$302,"JOB-03"))</f>
        <v/>
      </c>
      <c r="G275" s="19" t="str">
        <f>IF($A275="","",SUMIFS('Stock OUT (Issue)'!$G$3:$G$302,'Stock OUT (Issue)'!$D$3:$D$302,$A275,'Stock OUT (Issue)'!$C$3:$C$302,"JOB-04"))</f>
        <v/>
      </c>
      <c r="H275" s="19" t="str">
        <f>IF($A275="","",SUMIFS('Stock OUT (Issue)'!$G$3:$G$302,'Stock OUT (Issue)'!$D$3:$D$302,$A275,'Stock OUT (Issue)'!$C$3:$C$302,"JOB-05"))</f>
        <v/>
      </c>
      <c r="I275" s="19" t="str">
        <f t="shared" si="1"/>
        <v/>
      </c>
    </row>
    <row r="276" ht="15.75" customHeight="1">
      <c r="A276" s="14" t="str">
        <f>IF('Item Master'!B276="","",'Item Master'!B276)</f>
        <v/>
      </c>
      <c r="B276" s="14" t="str">
        <f>IF($A276="","",'Item Master'!C276)</f>
        <v/>
      </c>
      <c r="C276" s="14" t="str">
        <f>IF($A276="","",'Item Master'!G276)</f>
        <v/>
      </c>
      <c r="D276" s="19" t="str">
        <f>IF($A276="","",SUMIFS('Stock OUT (Issue)'!$G$3:$G$302,'Stock OUT (Issue)'!$D$3:$D$302,$A276,'Stock OUT (Issue)'!$C$3:$C$302,"JOB-01"))</f>
        <v/>
      </c>
      <c r="E276" s="19" t="str">
        <f>IF($A276="","",SUMIFS('Stock OUT (Issue)'!$G$3:$G$302,'Stock OUT (Issue)'!$D$3:$D$302,$A276,'Stock OUT (Issue)'!$C$3:$C$302,"JOB-02"))</f>
        <v/>
      </c>
      <c r="F276" s="19" t="str">
        <f>IF($A276="","",SUMIFS('Stock OUT (Issue)'!$G$3:$G$302,'Stock OUT (Issue)'!$D$3:$D$302,$A276,'Stock OUT (Issue)'!$C$3:$C$302,"JOB-03"))</f>
        <v/>
      </c>
      <c r="G276" s="19" t="str">
        <f>IF($A276="","",SUMIFS('Stock OUT (Issue)'!$G$3:$G$302,'Stock OUT (Issue)'!$D$3:$D$302,$A276,'Stock OUT (Issue)'!$C$3:$C$302,"JOB-04"))</f>
        <v/>
      </c>
      <c r="H276" s="19" t="str">
        <f>IF($A276="","",SUMIFS('Stock OUT (Issue)'!$G$3:$G$302,'Stock OUT (Issue)'!$D$3:$D$302,$A276,'Stock OUT (Issue)'!$C$3:$C$302,"JOB-05"))</f>
        <v/>
      </c>
      <c r="I276" s="19" t="str">
        <f t="shared" si="1"/>
        <v/>
      </c>
    </row>
    <row r="277" ht="15.75" customHeight="1">
      <c r="A277" s="14" t="str">
        <f>IF('Item Master'!B277="","",'Item Master'!B277)</f>
        <v/>
      </c>
      <c r="B277" s="14" t="str">
        <f>IF($A277="","",'Item Master'!C277)</f>
        <v/>
      </c>
      <c r="C277" s="14" t="str">
        <f>IF($A277="","",'Item Master'!G277)</f>
        <v/>
      </c>
      <c r="D277" s="19" t="str">
        <f>IF($A277="","",SUMIFS('Stock OUT (Issue)'!$G$3:$G$302,'Stock OUT (Issue)'!$D$3:$D$302,$A277,'Stock OUT (Issue)'!$C$3:$C$302,"JOB-01"))</f>
        <v/>
      </c>
      <c r="E277" s="19" t="str">
        <f>IF($A277="","",SUMIFS('Stock OUT (Issue)'!$G$3:$G$302,'Stock OUT (Issue)'!$D$3:$D$302,$A277,'Stock OUT (Issue)'!$C$3:$C$302,"JOB-02"))</f>
        <v/>
      </c>
      <c r="F277" s="19" t="str">
        <f>IF($A277="","",SUMIFS('Stock OUT (Issue)'!$G$3:$G$302,'Stock OUT (Issue)'!$D$3:$D$302,$A277,'Stock OUT (Issue)'!$C$3:$C$302,"JOB-03"))</f>
        <v/>
      </c>
      <c r="G277" s="19" t="str">
        <f>IF($A277="","",SUMIFS('Stock OUT (Issue)'!$G$3:$G$302,'Stock OUT (Issue)'!$D$3:$D$302,$A277,'Stock OUT (Issue)'!$C$3:$C$302,"JOB-04"))</f>
        <v/>
      </c>
      <c r="H277" s="19" t="str">
        <f>IF($A277="","",SUMIFS('Stock OUT (Issue)'!$G$3:$G$302,'Stock OUT (Issue)'!$D$3:$D$302,$A277,'Stock OUT (Issue)'!$C$3:$C$302,"JOB-05"))</f>
        <v/>
      </c>
      <c r="I277" s="19" t="str">
        <f t="shared" si="1"/>
        <v/>
      </c>
    </row>
    <row r="278" ht="15.75" customHeight="1">
      <c r="A278" s="14" t="str">
        <f>IF('Item Master'!B278="","",'Item Master'!B278)</f>
        <v/>
      </c>
      <c r="B278" s="14" t="str">
        <f>IF($A278="","",'Item Master'!C278)</f>
        <v/>
      </c>
      <c r="C278" s="14" t="str">
        <f>IF($A278="","",'Item Master'!G278)</f>
        <v/>
      </c>
      <c r="D278" s="19" t="str">
        <f>IF($A278="","",SUMIFS('Stock OUT (Issue)'!$G$3:$G$302,'Stock OUT (Issue)'!$D$3:$D$302,$A278,'Stock OUT (Issue)'!$C$3:$C$302,"JOB-01"))</f>
        <v/>
      </c>
      <c r="E278" s="19" t="str">
        <f>IF($A278="","",SUMIFS('Stock OUT (Issue)'!$G$3:$G$302,'Stock OUT (Issue)'!$D$3:$D$302,$A278,'Stock OUT (Issue)'!$C$3:$C$302,"JOB-02"))</f>
        <v/>
      </c>
      <c r="F278" s="19" t="str">
        <f>IF($A278="","",SUMIFS('Stock OUT (Issue)'!$G$3:$G$302,'Stock OUT (Issue)'!$D$3:$D$302,$A278,'Stock OUT (Issue)'!$C$3:$C$302,"JOB-03"))</f>
        <v/>
      </c>
      <c r="G278" s="19" t="str">
        <f>IF($A278="","",SUMIFS('Stock OUT (Issue)'!$G$3:$G$302,'Stock OUT (Issue)'!$D$3:$D$302,$A278,'Stock OUT (Issue)'!$C$3:$C$302,"JOB-04"))</f>
        <v/>
      </c>
      <c r="H278" s="19" t="str">
        <f>IF($A278="","",SUMIFS('Stock OUT (Issue)'!$G$3:$G$302,'Stock OUT (Issue)'!$D$3:$D$302,$A278,'Stock OUT (Issue)'!$C$3:$C$302,"JOB-05"))</f>
        <v/>
      </c>
      <c r="I278" s="19" t="str">
        <f t="shared" si="1"/>
        <v/>
      </c>
    </row>
    <row r="279" ht="15.75" customHeight="1">
      <c r="A279" s="14" t="str">
        <f>IF('Item Master'!B279="","",'Item Master'!B279)</f>
        <v/>
      </c>
      <c r="B279" s="14" t="str">
        <f>IF($A279="","",'Item Master'!C279)</f>
        <v/>
      </c>
      <c r="C279" s="14" t="str">
        <f>IF($A279="","",'Item Master'!G279)</f>
        <v/>
      </c>
      <c r="D279" s="19" t="str">
        <f>IF($A279="","",SUMIFS('Stock OUT (Issue)'!$G$3:$G$302,'Stock OUT (Issue)'!$D$3:$D$302,$A279,'Stock OUT (Issue)'!$C$3:$C$302,"JOB-01"))</f>
        <v/>
      </c>
      <c r="E279" s="19" t="str">
        <f>IF($A279="","",SUMIFS('Stock OUT (Issue)'!$G$3:$G$302,'Stock OUT (Issue)'!$D$3:$D$302,$A279,'Stock OUT (Issue)'!$C$3:$C$302,"JOB-02"))</f>
        <v/>
      </c>
      <c r="F279" s="19" t="str">
        <f>IF($A279="","",SUMIFS('Stock OUT (Issue)'!$G$3:$G$302,'Stock OUT (Issue)'!$D$3:$D$302,$A279,'Stock OUT (Issue)'!$C$3:$C$302,"JOB-03"))</f>
        <v/>
      </c>
      <c r="G279" s="19" t="str">
        <f>IF($A279="","",SUMIFS('Stock OUT (Issue)'!$G$3:$G$302,'Stock OUT (Issue)'!$D$3:$D$302,$A279,'Stock OUT (Issue)'!$C$3:$C$302,"JOB-04"))</f>
        <v/>
      </c>
      <c r="H279" s="19" t="str">
        <f>IF($A279="","",SUMIFS('Stock OUT (Issue)'!$G$3:$G$302,'Stock OUT (Issue)'!$D$3:$D$302,$A279,'Stock OUT (Issue)'!$C$3:$C$302,"JOB-05"))</f>
        <v/>
      </c>
      <c r="I279" s="19" t="str">
        <f t="shared" si="1"/>
        <v/>
      </c>
    </row>
    <row r="280" ht="15.75" customHeight="1">
      <c r="A280" s="14" t="str">
        <f>IF('Item Master'!B280="","",'Item Master'!B280)</f>
        <v/>
      </c>
      <c r="B280" s="14" t="str">
        <f>IF($A280="","",'Item Master'!C280)</f>
        <v/>
      </c>
      <c r="C280" s="14" t="str">
        <f>IF($A280="","",'Item Master'!G280)</f>
        <v/>
      </c>
      <c r="D280" s="19" t="str">
        <f>IF($A280="","",SUMIFS('Stock OUT (Issue)'!$G$3:$G$302,'Stock OUT (Issue)'!$D$3:$D$302,$A280,'Stock OUT (Issue)'!$C$3:$C$302,"JOB-01"))</f>
        <v/>
      </c>
      <c r="E280" s="19" t="str">
        <f>IF($A280="","",SUMIFS('Stock OUT (Issue)'!$G$3:$G$302,'Stock OUT (Issue)'!$D$3:$D$302,$A280,'Stock OUT (Issue)'!$C$3:$C$302,"JOB-02"))</f>
        <v/>
      </c>
      <c r="F280" s="19" t="str">
        <f>IF($A280="","",SUMIFS('Stock OUT (Issue)'!$G$3:$G$302,'Stock OUT (Issue)'!$D$3:$D$302,$A280,'Stock OUT (Issue)'!$C$3:$C$302,"JOB-03"))</f>
        <v/>
      </c>
      <c r="G280" s="19" t="str">
        <f>IF($A280="","",SUMIFS('Stock OUT (Issue)'!$G$3:$G$302,'Stock OUT (Issue)'!$D$3:$D$302,$A280,'Stock OUT (Issue)'!$C$3:$C$302,"JOB-04"))</f>
        <v/>
      </c>
      <c r="H280" s="19" t="str">
        <f>IF($A280="","",SUMIFS('Stock OUT (Issue)'!$G$3:$G$302,'Stock OUT (Issue)'!$D$3:$D$302,$A280,'Stock OUT (Issue)'!$C$3:$C$302,"JOB-05"))</f>
        <v/>
      </c>
      <c r="I280" s="19" t="str">
        <f t="shared" si="1"/>
        <v/>
      </c>
    </row>
    <row r="281" ht="15.75" customHeight="1">
      <c r="A281" s="14" t="str">
        <f>IF('Item Master'!B281="","",'Item Master'!B281)</f>
        <v/>
      </c>
      <c r="B281" s="14" t="str">
        <f>IF($A281="","",'Item Master'!C281)</f>
        <v/>
      </c>
      <c r="C281" s="14" t="str">
        <f>IF($A281="","",'Item Master'!G281)</f>
        <v/>
      </c>
      <c r="D281" s="19" t="str">
        <f>IF($A281="","",SUMIFS('Stock OUT (Issue)'!$G$3:$G$302,'Stock OUT (Issue)'!$D$3:$D$302,$A281,'Stock OUT (Issue)'!$C$3:$C$302,"JOB-01"))</f>
        <v/>
      </c>
      <c r="E281" s="19" t="str">
        <f>IF($A281="","",SUMIFS('Stock OUT (Issue)'!$G$3:$G$302,'Stock OUT (Issue)'!$D$3:$D$302,$A281,'Stock OUT (Issue)'!$C$3:$C$302,"JOB-02"))</f>
        <v/>
      </c>
      <c r="F281" s="19" t="str">
        <f>IF($A281="","",SUMIFS('Stock OUT (Issue)'!$G$3:$G$302,'Stock OUT (Issue)'!$D$3:$D$302,$A281,'Stock OUT (Issue)'!$C$3:$C$302,"JOB-03"))</f>
        <v/>
      </c>
      <c r="G281" s="19" t="str">
        <f>IF($A281="","",SUMIFS('Stock OUT (Issue)'!$G$3:$G$302,'Stock OUT (Issue)'!$D$3:$D$302,$A281,'Stock OUT (Issue)'!$C$3:$C$302,"JOB-04"))</f>
        <v/>
      </c>
      <c r="H281" s="19" t="str">
        <f>IF($A281="","",SUMIFS('Stock OUT (Issue)'!$G$3:$G$302,'Stock OUT (Issue)'!$D$3:$D$302,$A281,'Stock OUT (Issue)'!$C$3:$C$302,"JOB-05"))</f>
        <v/>
      </c>
      <c r="I281" s="19" t="str">
        <f t="shared" si="1"/>
        <v/>
      </c>
    </row>
    <row r="282" ht="15.75" customHeight="1">
      <c r="A282" s="14" t="str">
        <f>IF('Item Master'!B282="","",'Item Master'!B282)</f>
        <v/>
      </c>
      <c r="B282" s="14" t="str">
        <f>IF($A282="","",'Item Master'!C282)</f>
        <v/>
      </c>
      <c r="C282" s="14" t="str">
        <f>IF($A282="","",'Item Master'!G282)</f>
        <v/>
      </c>
      <c r="D282" s="19" t="str">
        <f>IF($A282="","",SUMIFS('Stock OUT (Issue)'!$G$3:$G$302,'Stock OUT (Issue)'!$D$3:$D$302,$A282,'Stock OUT (Issue)'!$C$3:$C$302,"JOB-01"))</f>
        <v/>
      </c>
      <c r="E282" s="19" t="str">
        <f>IF($A282="","",SUMIFS('Stock OUT (Issue)'!$G$3:$G$302,'Stock OUT (Issue)'!$D$3:$D$302,$A282,'Stock OUT (Issue)'!$C$3:$C$302,"JOB-02"))</f>
        <v/>
      </c>
      <c r="F282" s="19" t="str">
        <f>IF($A282="","",SUMIFS('Stock OUT (Issue)'!$G$3:$G$302,'Stock OUT (Issue)'!$D$3:$D$302,$A282,'Stock OUT (Issue)'!$C$3:$C$302,"JOB-03"))</f>
        <v/>
      </c>
      <c r="G282" s="19" t="str">
        <f>IF($A282="","",SUMIFS('Stock OUT (Issue)'!$G$3:$G$302,'Stock OUT (Issue)'!$D$3:$D$302,$A282,'Stock OUT (Issue)'!$C$3:$C$302,"JOB-04"))</f>
        <v/>
      </c>
      <c r="H282" s="19" t="str">
        <f>IF($A282="","",SUMIFS('Stock OUT (Issue)'!$G$3:$G$302,'Stock OUT (Issue)'!$D$3:$D$302,$A282,'Stock OUT (Issue)'!$C$3:$C$302,"JOB-05"))</f>
        <v/>
      </c>
      <c r="I282" s="19" t="str">
        <f t="shared" si="1"/>
        <v/>
      </c>
    </row>
    <row r="283" ht="15.75" customHeight="1">
      <c r="A283" s="14" t="str">
        <f>IF('Item Master'!B283="","",'Item Master'!B283)</f>
        <v/>
      </c>
      <c r="B283" s="14" t="str">
        <f>IF($A283="","",'Item Master'!C283)</f>
        <v/>
      </c>
      <c r="C283" s="14" t="str">
        <f>IF($A283="","",'Item Master'!G283)</f>
        <v/>
      </c>
      <c r="D283" s="19" t="str">
        <f>IF($A283="","",SUMIFS('Stock OUT (Issue)'!$G$3:$G$302,'Stock OUT (Issue)'!$D$3:$D$302,$A283,'Stock OUT (Issue)'!$C$3:$C$302,"JOB-01"))</f>
        <v/>
      </c>
      <c r="E283" s="19" t="str">
        <f>IF($A283="","",SUMIFS('Stock OUT (Issue)'!$G$3:$G$302,'Stock OUT (Issue)'!$D$3:$D$302,$A283,'Stock OUT (Issue)'!$C$3:$C$302,"JOB-02"))</f>
        <v/>
      </c>
      <c r="F283" s="19" t="str">
        <f>IF($A283="","",SUMIFS('Stock OUT (Issue)'!$G$3:$G$302,'Stock OUT (Issue)'!$D$3:$D$302,$A283,'Stock OUT (Issue)'!$C$3:$C$302,"JOB-03"))</f>
        <v/>
      </c>
      <c r="G283" s="19" t="str">
        <f>IF($A283="","",SUMIFS('Stock OUT (Issue)'!$G$3:$G$302,'Stock OUT (Issue)'!$D$3:$D$302,$A283,'Stock OUT (Issue)'!$C$3:$C$302,"JOB-04"))</f>
        <v/>
      </c>
      <c r="H283" s="19" t="str">
        <f>IF($A283="","",SUMIFS('Stock OUT (Issue)'!$G$3:$G$302,'Stock OUT (Issue)'!$D$3:$D$302,$A283,'Stock OUT (Issue)'!$C$3:$C$302,"JOB-05"))</f>
        <v/>
      </c>
      <c r="I283" s="19" t="str">
        <f t="shared" si="1"/>
        <v/>
      </c>
    </row>
    <row r="284" ht="15.75" customHeight="1">
      <c r="A284" s="14" t="str">
        <f>IF('Item Master'!B284="","",'Item Master'!B284)</f>
        <v/>
      </c>
      <c r="B284" s="14" t="str">
        <f>IF($A284="","",'Item Master'!C284)</f>
        <v/>
      </c>
      <c r="C284" s="14" t="str">
        <f>IF($A284="","",'Item Master'!G284)</f>
        <v/>
      </c>
      <c r="D284" s="19" t="str">
        <f>IF($A284="","",SUMIFS('Stock OUT (Issue)'!$G$3:$G$302,'Stock OUT (Issue)'!$D$3:$D$302,$A284,'Stock OUT (Issue)'!$C$3:$C$302,"JOB-01"))</f>
        <v/>
      </c>
      <c r="E284" s="19" t="str">
        <f>IF($A284="","",SUMIFS('Stock OUT (Issue)'!$G$3:$G$302,'Stock OUT (Issue)'!$D$3:$D$302,$A284,'Stock OUT (Issue)'!$C$3:$C$302,"JOB-02"))</f>
        <v/>
      </c>
      <c r="F284" s="19" t="str">
        <f>IF($A284="","",SUMIFS('Stock OUT (Issue)'!$G$3:$G$302,'Stock OUT (Issue)'!$D$3:$D$302,$A284,'Stock OUT (Issue)'!$C$3:$C$302,"JOB-03"))</f>
        <v/>
      </c>
      <c r="G284" s="19" t="str">
        <f>IF($A284="","",SUMIFS('Stock OUT (Issue)'!$G$3:$G$302,'Stock OUT (Issue)'!$D$3:$D$302,$A284,'Stock OUT (Issue)'!$C$3:$C$302,"JOB-04"))</f>
        <v/>
      </c>
      <c r="H284" s="19" t="str">
        <f>IF($A284="","",SUMIFS('Stock OUT (Issue)'!$G$3:$G$302,'Stock OUT (Issue)'!$D$3:$D$302,$A284,'Stock OUT (Issue)'!$C$3:$C$302,"JOB-05"))</f>
        <v/>
      </c>
      <c r="I284" s="19" t="str">
        <f t="shared" si="1"/>
        <v/>
      </c>
    </row>
    <row r="285" ht="15.75" customHeight="1">
      <c r="A285" s="14" t="str">
        <f>IF('Item Master'!B285="","",'Item Master'!B285)</f>
        <v/>
      </c>
      <c r="B285" s="14" t="str">
        <f>IF($A285="","",'Item Master'!C285)</f>
        <v/>
      </c>
      <c r="C285" s="14" t="str">
        <f>IF($A285="","",'Item Master'!G285)</f>
        <v/>
      </c>
      <c r="D285" s="19" t="str">
        <f>IF($A285="","",SUMIFS('Stock OUT (Issue)'!$G$3:$G$302,'Stock OUT (Issue)'!$D$3:$D$302,$A285,'Stock OUT (Issue)'!$C$3:$C$302,"JOB-01"))</f>
        <v/>
      </c>
      <c r="E285" s="19" t="str">
        <f>IF($A285="","",SUMIFS('Stock OUT (Issue)'!$G$3:$G$302,'Stock OUT (Issue)'!$D$3:$D$302,$A285,'Stock OUT (Issue)'!$C$3:$C$302,"JOB-02"))</f>
        <v/>
      </c>
      <c r="F285" s="19" t="str">
        <f>IF($A285="","",SUMIFS('Stock OUT (Issue)'!$G$3:$G$302,'Stock OUT (Issue)'!$D$3:$D$302,$A285,'Stock OUT (Issue)'!$C$3:$C$302,"JOB-03"))</f>
        <v/>
      </c>
      <c r="G285" s="19" t="str">
        <f>IF($A285="","",SUMIFS('Stock OUT (Issue)'!$G$3:$G$302,'Stock OUT (Issue)'!$D$3:$D$302,$A285,'Stock OUT (Issue)'!$C$3:$C$302,"JOB-04"))</f>
        <v/>
      </c>
      <c r="H285" s="19" t="str">
        <f>IF($A285="","",SUMIFS('Stock OUT (Issue)'!$G$3:$G$302,'Stock OUT (Issue)'!$D$3:$D$302,$A285,'Stock OUT (Issue)'!$C$3:$C$302,"JOB-05"))</f>
        <v/>
      </c>
      <c r="I285" s="19" t="str">
        <f t="shared" si="1"/>
        <v/>
      </c>
    </row>
    <row r="286" ht="15.75" customHeight="1">
      <c r="A286" s="14" t="str">
        <f>IF('Item Master'!B286="","",'Item Master'!B286)</f>
        <v/>
      </c>
      <c r="B286" s="14" t="str">
        <f>IF($A286="","",'Item Master'!C286)</f>
        <v/>
      </c>
      <c r="C286" s="14" t="str">
        <f>IF($A286="","",'Item Master'!G286)</f>
        <v/>
      </c>
      <c r="D286" s="19" t="str">
        <f>IF($A286="","",SUMIFS('Stock OUT (Issue)'!$G$3:$G$302,'Stock OUT (Issue)'!$D$3:$D$302,$A286,'Stock OUT (Issue)'!$C$3:$C$302,"JOB-01"))</f>
        <v/>
      </c>
      <c r="E286" s="19" t="str">
        <f>IF($A286="","",SUMIFS('Stock OUT (Issue)'!$G$3:$G$302,'Stock OUT (Issue)'!$D$3:$D$302,$A286,'Stock OUT (Issue)'!$C$3:$C$302,"JOB-02"))</f>
        <v/>
      </c>
      <c r="F286" s="19" t="str">
        <f>IF($A286="","",SUMIFS('Stock OUT (Issue)'!$G$3:$G$302,'Stock OUT (Issue)'!$D$3:$D$302,$A286,'Stock OUT (Issue)'!$C$3:$C$302,"JOB-03"))</f>
        <v/>
      </c>
      <c r="G286" s="19" t="str">
        <f>IF($A286="","",SUMIFS('Stock OUT (Issue)'!$G$3:$G$302,'Stock OUT (Issue)'!$D$3:$D$302,$A286,'Stock OUT (Issue)'!$C$3:$C$302,"JOB-04"))</f>
        <v/>
      </c>
      <c r="H286" s="19" t="str">
        <f>IF($A286="","",SUMIFS('Stock OUT (Issue)'!$G$3:$G$302,'Stock OUT (Issue)'!$D$3:$D$302,$A286,'Stock OUT (Issue)'!$C$3:$C$302,"JOB-05"))</f>
        <v/>
      </c>
      <c r="I286" s="19" t="str">
        <f t="shared" si="1"/>
        <v/>
      </c>
    </row>
    <row r="287" ht="15.75" customHeight="1">
      <c r="A287" s="14" t="str">
        <f>IF('Item Master'!B287="","",'Item Master'!B287)</f>
        <v/>
      </c>
      <c r="B287" s="14" t="str">
        <f>IF($A287="","",'Item Master'!C287)</f>
        <v/>
      </c>
      <c r="C287" s="14" t="str">
        <f>IF($A287="","",'Item Master'!G287)</f>
        <v/>
      </c>
      <c r="D287" s="19" t="str">
        <f>IF($A287="","",SUMIFS('Stock OUT (Issue)'!$G$3:$G$302,'Stock OUT (Issue)'!$D$3:$D$302,$A287,'Stock OUT (Issue)'!$C$3:$C$302,"JOB-01"))</f>
        <v/>
      </c>
      <c r="E287" s="19" t="str">
        <f>IF($A287="","",SUMIFS('Stock OUT (Issue)'!$G$3:$G$302,'Stock OUT (Issue)'!$D$3:$D$302,$A287,'Stock OUT (Issue)'!$C$3:$C$302,"JOB-02"))</f>
        <v/>
      </c>
      <c r="F287" s="19" t="str">
        <f>IF($A287="","",SUMIFS('Stock OUT (Issue)'!$G$3:$G$302,'Stock OUT (Issue)'!$D$3:$D$302,$A287,'Stock OUT (Issue)'!$C$3:$C$302,"JOB-03"))</f>
        <v/>
      </c>
      <c r="G287" s="19" t="str">
        <f>IF($A287="","",SUMIFS('Stock OUT (Issue)'!$G$3:$G$302,'Stock OUT (Issue)'!$D$3:$D$302,$A287,'Stock OUT (Issue)'!$C$3:$C$302,"JOB-04"))</f>
        <v/>
      </c>
      <c r="H287" s="19" t="str">
        <f>IF($A287="","",SUMIFS('Stock OUT (Issue)'!$G$3:$G$302,'Stock OUT (Issue)'!$D$3:$D$302,$A287,'Stock OUT (Issue)'!$C$3:$C$302,"JOB-05"))</f>
        <v/>
      </c>
      <c r="I287" s="19" t="str">
        <f t="shared" si="1"/>
        <v/>
      </c>
    </row>
    <row r="288" ht="15.75" customHeight="1">
      <c r="A288" s="14" t="str">
        <f>IF('Item Master'!B288="","",'Item Master'!B288)</f>
        <v/>
      </c>
      <c r="B288" s="14" t="str">
        <f>IF($A288="","",'Item Master'!C288)</f>
        <v/>
      </c>
      <c r="C288" s="14" t="str">
        <f>IF($A288="","",'Item Master'!G288)</f>
        <v/>
      </c>
      <c r="D288" s="19" t="str">
        <f>IF($A288="","",SUMIFS('Stock OUT (Issue)'!$G$3:$G$302,'Stock OUT (Issue)'!$D$3:$D$302,$A288,'Stock OUT (Issue)'!$C$3:$C$302,"JOB-01"))</f>
        <v/>
      </c>
      <c r="E288" s="19" t="str">
        <f>IF($A288="","",SUMIFS('Stock OUT (Issue)'!$G$3:$G$302,'Stock OUT (Issue)'!$D$3:$D$302,$A288,'Stock OUT (Issue)'!$C$3:$C$302,"JOB-02"))</f>
        <v/>
      </c>
      <c r="F288" s="19" t="str">
        <f>IF($A288="","",SUMIFS('Stock OUT (Issue)'!$G$3:$G$302,'Stock OUT (Issue)'!$D$3:$D$302,$A288,'Stock OUT (Issue)'!$C$3:$C$302,"JOB-03"))</f>
        <v/>
      </c>
      <c r="G288" s="19" t="str">
        <f>IF($A288="","",SUMIFS('Stock OUT (Issue)'!$G$3:$G$302,'Stock OUT (Issue)'!$D$3:$D$302,$A288,'Stock OUT (Issue)'!$C$3:$C$302,"JOB-04"))</f>
        <v/>
      </c>
      <c r="H288" s="19" t="str">
        <f>IF($A288="","",SUMIFS('Stock OUT (Issue)'!$G$3:$G$302,'Stock OUT (Issue)'!$D$3:$D$302,$A288,'Stock OUT (Issue)'!$C$3:$C$302,"JOB-05"))</f>
        <v/>
      </c>
      <c r="I288" s="19" t="str">
        <f t="shared" si="1"/>
        <v/>
      </c>
    </row>
    <row r="289" ht="15.75" customHeight="1">
      <c r="A289" s="14" t="str">
        <f>IF('Item Master'!B289="","",'Item Master'!B289)</f>
        <v/>
      </c>
      <c r="B289" s="14" t="str">
        <f>IF($A289="","",'Item Master'!C289)</f>
        <v/>
      </c>
      <c r="C289" s="14" t="str">
        <f>IF($A289="","",'Item Master'!G289)</f>
        <v/>
      </c>
      <c r="D289" s="19" t="str">
        <f>IF($A289="","",SUMIFS('Stock OUT (Issue)'!$G$3:$G$302,'Stock OUT (Issue)'!$D$3:$D$302,$A289,'Stock OUT (Issue)'!$C$3:$C$302,"JOB-01"))</f>
        <v/>
      </c>
      <c r="E289" s="19" t="str">
        <f>IF($A289="","",SUMIFS('Stock OUT (Issue)'!$G$3:$G$302,'Stock OUT (Issue)'!$D$3:$D$302,$A289,'Stock OUT (Issue)'!$C$3:$C$302,"JOB-02"))</f>
        <v/>
      </c>
      <c r="F289" s="19" t="str">
        <f>IF($A289="","",SUMIFS('Stock OUT (Issue)'!$G$3:$G$302,'Stock OUT (Issue)'!$D$3:$D$302,$A289,'Stock OUT (Issue)'!$C$3:$C$302,"JOB-03"))</f>
        <v/>
      </c>
      <c r="G289" s="19" t="str">
        <f>IF($A289="","",SUMIFS('Stock OUT (Issue)'!$G$3:$G$302,'Stock OUT (Issue)'!$D$3:$D$302,$A289,'Stock OUT (Issue)'!$C$3:$C$302,"JOB-04"))</f>
        <v/>
      </c>
      <c r="H289" s="19" t="str">
        <f>IF($A289="","",SUMIFS('Stock OUT (Issue)'!$G$3:$G$302,'Stock OUT (Issue)'!$D$3:$D$302,$A289,'Stock OUT (Issue)'!$C$3:$C$302,"JOB-05"))</f>
        <v/>
      </c>
      <c r="I289" s="19" t="str">
        <f t="shared" si="1"/>
        <v/>
      </c>
    </row>
    <row r="290" ht="15.75" customHeight="1">
      <c r="A290" s="14" t="str">
        <f>IF('Item Master'!B290="","",'Item Master'!B290)</f>
        <v/>
      </c>
      <c r="B290" s="14" t="str">
        <f>IF($A290="","",'Item Master'!C290)</f>
        <v/>
      </c>
      <c r="C290" s="14" t="str">
        <f>IF($A290="","",'Item Master'!G290)</f>
        <v/>
      </c>
      <c r="D290" s="19" t="str">
        <f>IF($A290="","",SUMIFS('Stock OUT (Issue)'!$G$3:$G$302,'Stock OUT (Issue)'!$D$3:$D$302,$A290,'Stock OUT (Issue)'!$C$3:$C$302,"JOB-01"))</f>
        <v/>
      </c>
      <c r="E290" s="19" t="str">
        <f>IF($A290="","",SUMIFS('Stock OUT (Issue)'!$G$3:$G$302,'Stock OUT (Issue)'!$D$3:$D$302,$A290,'Stock OUT (Issue)'!$C$3:$C$302,"JOB-02"))</f>
        <v/>
      </c>
      <c r="F290" s="19" t="str">
        <f>IF($A290="","",SUMIFS('Stock OUT (Issue)'!$G$3:$G$302,'Stock OUT (Issue)'!$D$3:$D$302,$A290,'Stock OUT (Issue)'!$C$3:$C$302,"JOB-03"))</f>
        <v/>
      </c>
      <c r="G290" s="19" t="str">
        <f>IF($A290="","",SUMIFS('Stock OUT (Issue)'!$G$3:$G$302,'Stock OUT (Issue)'!$D$3:$D$302,$A290,'Stock OUT (Issue)'!$C$3:$C$302,"JOB-04"))</f>
        <v/>
      </c>
      <c r="H290" s="19" t="str">
        <f>IF($A290="","",SUMIFS('Stock OUT (Issue)'!$G$3:$G$302,'Stock OUT (Issue)'!$D$3:$D$302,$A290,'Stock OUT (Issue)'!$C$3:$C$302,"JOB-05"))</f>
        <v/>
      </c>
      <c r="I290" s="19" t="str">
        <f t="shared" si="1"/>
        <v/>
      </c>
    </row>
    <row r="291" ht="15.75" customHeight="1">
      <c r="A291" s="14" t="str">
        <f>IF('Item Master'!B291="","",'Item Master'!B291)</f>
        <v/>
      </c>
      <c r="B291" s="14" t="str">
        <f>IF($A291="","",'Item Master'!C291)</f>
        <v/>
      </c>
      <c r="C291" s="14" t="str">
        <f>IF($A291="","",'Item Master'!G291)</f>
        <v/>
      </c>
      <c r="D291" s="19" t="str">
        <f>IF($A291="","",SUMIFS('Stock OUT (Issue)'!$G$3:$G$302,'Stock OUT (Issue)'!$D$3:$D$302,$A291,'Stock OUT (Issue)'!$C$3:$C$302,"JOB-01"))</f>
        <v/>
      </c>
      <c r="E291" s="19" t="str">
        <f>IF($A291="","",SUMIFS('Stock OUT (Issue)'!$G$3:$G$302,'Stock OUT (Issue)'!$D$3:$D$302,$A291,'Stock OUT (Issue)'!$C$3:$C$302,"JOB-02"))</f>
        <v/>
      </c>
      <c r="F291" s="19" t="str">
        <f>IF($A291="","",SUMIFS('Stock OUT (Issue)'!$G$3:$G$302,'Stock OUT (Issue)'!$D$3:$D$302,$A291,'Stock OUT (Issue)'!$C$3:$C$302,"JOB-03"))</f>
        <v/>
      </c>
      <c r="G291" s="19" t="str">
        <f>IF($A291="","",SUMIFS('Stock OUT (Issue)'!$G$3:$G$302,'Stock OUT (Issue)'!$D$3:$D$302,$A291,'Stock OUT (Issue)'!$C$3:$C$302,"JOB-04"))</f>
        <v/>
      </c>
      <c r="H291" s="19" t="str">
        <f>IF($A291="","",SUMIFS('Stock OUT (Issue)'!$G$3:$G$302,'Stock OUT (Issue)'!$D$3:$D$302,$A291,'Stock OUT (Issue)'!$C$3:$C$302,"JOB-05"))</f>
        <v/>
      </c>
      <c r="I291" s="19" t="str">
        <f t="shared" si="1"/>
        <v/>
      </c>
    </row>
    <row r="292" ht="15.75" customHeight="1">
      <c r="A292" s="14" t="str">
        <f>IF('Item Master'!B292="","",'Item Master'!B292)</f>
        <v/>
      </c>
      <c r="B292" s="14" t="str">
        <f>IF($A292="","",'Item Master'!C292)</f>
        <v/>
      </c>
      <c r="C292" s="14" t="str">
        <f>IF($A292="","",'Item Master'!G292)</f>
        <v/>
      </c>
      <c r="D292" s="19" t="str">
        <f>IF($A292="","",SUMIFS('Stock OUT (Issue)'!$G$3:$G$302,'Stock OUT (Issue)'!$D$3:$D$302,$A292,'Stock OUT (Issue)'!$C$3:$C$302,"JOB-01"))</f>
        <v/>
      </c>
      <c r="E292" s="19" t="str">
        <f>IF($A292="","",SUMIFS('Stock OUT (Issue)'!$G$3:$G$302,'Stock OUT (Issue)'!$D$3:$D$302,$A292,'Stock OUT (Issue)'!$C$3:$C$302,"JOB-02"))</f>
        <v/>
      </c>
      <c r="F292" s="19" t="str">
        <f>IF($A292="","",SUMIFS('Stock OUT (Issue)'!$G$3:$G$302,'Stock OUT (Issue)'!$D$3:$D$302,$A292,'Stock OUT (Issue)'!$C$3:$C$302,"JOB-03"))</f>
        <v/>
      </c>
      <c r="G292" s="19" t="str">
        <f>IF($A292="","",SUMIFS('Stock OUT (Issue)'!$G$3:$G$302,'Stock OUT (Issue)'!$D$3:$D$302,$A292,'Stock OUT (Issue)'!$C$3:$C$302,"JOB-04"))</f>
        <v/>
      </c>
      <c r="H292" s="19" t="str">
        <f>IF($A292="","",SUMIFS('Stock OUT (Issue)'!$G$3:$G$302,'Stock OUT (Issue)'!$D$3:$D$302,$A292,'Stock OUT (Issue)'!$C$3:$C$302,"JOB-05"))</f>
        <v/>
      </c>
      <c r="I292" s="19" t="str">
        <f t="shared" si="1"/>
        <v/>
      </c>
    </row>
    <row r="293" ht="15.75" customHeight="1">
      <c r="A293" s="14" t="str">
        <f>IF('Item Master'!B293="","",'Item Master'!B293)</f>
        <v/>
      </c>
      <c r="B293" s="14" t="str">
        <f>IF($A293="","",'Item Master'!C293)</f>
        <v/>
      </c>
      <c r="C293" s="14" t="str">
        <f>IF($A293="","",'Item Master'!G293)</f>
        <v/>
      </c>
      <c r="D293" s="19" t="str">
        <f>IF($A293="","",SUMIFS('Stock OUT (Issue)'!$G$3:$G$302,'Stock OUT (Issue)'!$D$3:$D$302,$A293,'Stock OUT (Issue)'!$C$3:$C$302,"JOB-01"))</f>
        <v/>
      </c>
      <c r="E293" s="19" t="str">
        <f>IF($A293="","",SUMIFS('Stock OUT (Issue)'!$G$3:$G$302,'Stock OUT (Issue)'!$D$3:$D$302,$A293,'Stock OUT (Issue)'!$C$3:$C$302,"JOB-02"))</f>
        <v/>
      </c>
      <c r="F293" s="19" t="str">
        <f>IF($A293="","",SUMIFS('Stock OUT (Issue)'!$G$3:$G$302,'Stock OUT (Issue)'!$D$3:$D$302,$A293,'Stock OUT (Issue)'!$C$3:$C$302,"JOB-03"))</f>
        <v/>
      </c>
      <c r="G293" s="19" t="str">
        <f>IF($A293="","",SUMIFS('Stock OUT (Issue)'!$G$3:$G$302,'Stock OUT (Issue)'!$D$3:$D$302,$A293,'Stock OUT (Issue)'!$C$3:$C$302,"JOB-04"))</f>
        <v/>
      </c>
      <c r="H293" s="19" t="str">
        <f>IF($A293="","",SUMIFS('Stock OUT (Issue)'!$G$3:$G$302,'Stock OUT (Issue)'!$D$3:$D$302,$A293,'Stock OUT (Issue)'!$C$3:$C$302,"JOB-05"))</f>
        <v/>
      </c>
      <c r="I293" s="19" t="str">
        <f t="shared" si="1"/>
        <v/>
      </c>
    </row>
    <row r="294" ht="15.75" customHeight="1">
      <c r="A294" s="14" t="str">
        <f>IF('Item Master'!B294="","",'Item Master'!B294)</f>
        <v/>
      </c>
      <c r="B294" s="14" t="str">
        <f>IF($A294="","",'Item Master'!C294)</f>
        <v/>
      </c>
      <c r="C294" s="14" t="str">
        <f>IF($A294="","",'Item Master'!G294)</f>
        <v/>
      </c>
      <c r="D294" s="19" t="str">
        <f>IF($A294="","",SUMIFS('Stock OUT (Issue)'!$G$3:$G$302,'Stock OUT (Issue)'!$D$3:$D$302,$A294,'Stock OUT (Issue)'!$C$3:$C$302,"JOB-01"))</f>
        <v/>
      </c>
      <c r="E294" s="19" t="str">
        <f>IF($A294="","",SUMIFS('Stock OUT (Issue)'!$G$3:$G$302,'Stock OUT (Issue)'!$D$3:$D$302,$A294,'Stock OUT (Issue)'!$C$3:$C$302,"JOB-02"))</f>
        <v/>
      </c>
      <c r="F294" s="19" t="str">
        <f>IF($A294="","",SUMIFS('Stock OUT (Issue)'!$G$3:$G$302,'Stock OUT (Issue)'!$D$3:$D$302,$A294,'Stock OUT (Issue)'!$C$3:$C$302,"JOB-03"))</f>
        <v/>
      </c>
      <c r="G294" s="19" t="str">
        <f>IF($A294="","",SUMIFS('Stock OUT (Issue)'!$G$3:$G$302,'Stock OUT (Issue)'!$D$3:$D$302,$A294,'Stock OUT (Issue)'!$C$3:$C$302,"JOB-04"))</f>
        <v/>
      </c>
      <c r="H294" s="19" t="str">
        <f>IF($A294="","",SUMIFS('Stock OUT (Issue)'!$G$3:$G$302,'Stock OUT (Issue)'!$D$3:$D$302,$A294,'Stock OUT (Issue)'!$C$3:$C$302,"JOB-05"))</f>
        <v/>
      </c>
      <c r="I294" s="19" t="str">
        <f t="shared" si="1"/>
        <v/>
      </c>
    </row>
    <row r="295" ht="15.75" customHeight="1">
      <c r="A295" s="14" t="str">
        <f>IF('Item Master'!B295="","",'Item Master'!B295)</f>
        <v/>
      </c>
      <c r="B295" s="14" t="str">
        <f>IF($A295="","",'Item Master'!C295)</f>
        <v/>
      </c>
      <c r="C295" s="14" t="str">
        <f>IF($A295="","",'Item Master'!G295)</f>
        <v/>
      </c>
      <c r="D295" s="19" t="str">
        <f>IF($A295="","",SUMIFS('Stock OUT (Issue)'!$G$3:$G$302,'Stock OUT (Issue)'!$D$3:$D$302,$A295,'Stock OUT (Issue)'!$C$3:$C$302,"JOB-01"))</f>
        <v/>
      </c>
      <c r="E295" s="19" t="str">
        <f>IF($A295="","",SUMIFS('Stock OUT (Issue)'!$G$3:$G$302,'Stock OUT (Issue)'!$D$3:$D$302,$A295,'Stock OUT (Issue)'!$C$3:$C$302,"JOB-02"))</f>
        <v/>
      </c>
      <c r="F295" s="19" t="str">
        <f>IF($A295="","",SUMIFS('Stock OUT (Issue)'!$G$3:$G$302,'Stock OUT (Issue)'!$D$3:$D$302,$A295,'Stock OUT (Issue)'!$C$3:$C$302,"JOB-03"))</f>
        <v/>
      </c>
      <c r="G295" s="19" t="str">
        <f>IF($A295="","",SUMIFS('Stock OUT (Issue)'!$G$3:$G$302,'Stock OUT (Issue)'!$D$3:$D$302,$A295,'Stock OUT (Issue)'!$C$3:$C$302,"JOB-04"))</f>
        <v/>
      </c>
      <c r="H295" s="19" t="str">
        <f>IF($A295="","",SUMIFS('Stock OUT (Issue)'!$G$3:$G$302,'Stock OUT (Issue)'!$D$3:$D$302,$A295,'Stock OUT (Issue)'!$C$3:$C$302,"JOB-05"))</f>
        <v/>
      </c>
      <c r="I295" s="19" t="str">
        <f t="shared" si="1"/>
        <v/>
      </c>
    </row>
    <row r="296" ht="15.75" customHeight="1">
      <c r="A296" s="14" t="str">
        <f>IF('Item Master'!B296="","",'Item Master'!B296)</f>
        <v/>
      </c>
      <c r="B296" s="14" t="str">
        <f>IF($A296="","",'Item Master'!C296)</f>
        <v/>
      </c>
      <c r="C296" s="14" t="str">
        <f>IF($A296="","",'Item Master'!G296)</f>
        <v/>
      </c>
      <c r="D296" s="19" t="str">
        <f>IF($A296="","",SUMIFS('Stock OUT (Issue)'!$G$3:$G$302,'Stock OUT (Issue)'!$D$3:$D$302,$A296,'Stock OUT (Issue)'!$C$3:$C$302,"JOB-01"))</f>
        <v/>
      </c>
      <c r="E296" s="19" t="str">
        <f>IF($A296="","",SUMIFS('Stock OUT (Issue)'!$G$3:$G$302,'Stock OUT (Issue)'!$D$3:$D$302,$A296,'Stock OUT (Issue)'!$C$3:$C$302,"JOB-02"))</f>
        <v/>
      </c>
      <c r="F296" s="19" t="str">
        <f>IF($A296="","",SUMIFS('Stock OUT (Issue)'!$G$3:$G$302,'Stock OUT (Issue)'!$D$3:$D$302,$A296,'Stock OUT (Issue)'!$C$3:$C$302,"JOB-03"))</f>
        <v/>
      </c>
      <c r="G296" s="19" t="str">
        <f>IF($A296="","",SUMIFS('Stock OUT (Issue)'!$G$3:$G$302,'Stock OUT (Issue)'!$D$3:$D$302,$A296,'Stock OUT (Issue)'!$C$3:$C$302,"JOB-04"))</f>
        <v/>
      </c>
      <c r="H296" s="19" t="str">
        <f>IF($A296="","",SUMIFS('Stock OUT (Issue)'!$G$3:$G$302,'Stock OUT (Issue)'!$D$3:$D$302,$A296,'Stock OUT (Issue)'!$C$3:$C$302,"JOB-05"))</f>
        <v/>
      </c>
      <c r="I296" s="19" t="str">
        <f t="shared" si="1"/>
        <v/>
      </c>
    </row>
    <row r="297" ht="15.75" customHeight="1">
      <c r="A297" s="14" t="str">
        <f>IF('Item Master'!B297="","",'Item Master'!B297)</f>
        <v/>
      </c>
      <c r="B297" s="14" t="str">
        <f>IF($A297="","",'Item Master'!C297)</f>
        <v/>
      </c>
      <c r="C297" s="14" t="str">
        <f>IF($A297="","",'Item Master'!G297)</f>
        <v/>
      </c>
      <c r="D297" s="19" t="str">
        <f>IF($A297="","",SUMIFS('Stock OUT (Issue)'!$G$3:$G$302,'Stock OUT (Issue)'!$D$3:$D$302,$A297,'Stock OUT (Issue)'!$C$3:$C$302,"JOB-01"))</f>
        <v/>
      </c>
      <c r="E297" s="19" t="str">
        <f>IF($A297="","",SUMIFS('Stock OUT (Issue)'!$G$3:$G$302,'Stock OUT (Issue)'!$D$3:$D$302,$A297,'Stock OUT (Issue)'!$C$3:$C$302,"JOB-02"))</f>
        <v/>
      </c>
      <c r="F297" s="19" t="str">
        <f>IF($A297="","",SUMIFS('Stock OUT (Issue)'!$G$3:$G$302,'Stock OUT (Issue)'!$D$3:$D$302,$A297,'Stock OUT (Issue)'!$C$3:$C$302,"JOB-03"))</f>
        <v/>
      </c>
      <c r="G297" s="19" t="str">
        <f>IF($A297="","",SUMIFS('Stock OUT (Issue)'!$G$3:$G$302,'Stock OUT (Issue)'!$D$3:$D$302,$A297,'Stock OUT (Issue)'!$C$3:$C$302,"JOB-04"))</f>
        <v/>
      </c>
      <c r="H297" s="19" t="str">
        <f>IF($A297="","",SUMIFS('Stock OUT (Issue)'!$G$3:$G$302,'Stock OUT (Issue)'!$D$3:$D$302,$A297,'Stock OUT (Issue)'!$C$3:$C$302,"JOB-05"))</f>
        <v/>
      </c>
      <c r="I297" s="19" t="str">
        <f t="shared" si="1"/>
        <v/>
      </c>
    </row>
    <row r="298" ht="15.75" customHeight="1">
      <c r="A298" s="14" t="str">
        <f>IF('Item Master'!B298="","",'Item Master'!B298)</f>
        <v/>
      </c>
      <c r="B298" s="14" t="str">
        <f>IF($A298="","",'Item Master'!C298)</f>
        <v/>
      </c>
      <c r="C298" s="14" t="str">
        <f>IF($A298="","",'Item Master'!G298)</f>
        <v/>
      </c>
      <c r="D298" s="19" t="str">
        <f>IF($A298="","",SUMIFS('Stock OUT (Issue)'!$G$3:$G$302,'Stock OUT (Issue)'!$D$3:$D$302,$A298,'Stock OUT (Issue)'!$C$3:$C$302,"JOB-01"))</f>
        <v/>
      </c>
      <c r="E298" s="19" t="str">
        <f>IF($A298="","",SUMIFS('Stock OUT (Issue)'!$G$3:$G$302,'Stock OUT (Issue)'!$D$3:$D$302,$A298,'Stock OUT (Issue)'!$C$3:$C$302,"JOB-02"))</f>
        <v/>
      </c>
      <c r="F298" s="19" t="str">
        <f>IF($A298="","",SUMIFS('Stock OUT (Issue)'!$G$3:$G$302,'Stock OUT (Issue)'!$D$3:$D$302,$A298,'Stock OUT (Issue)'!$C$3:$C$302,"JOB-03"))</f>
        <v/>
      </c>
      <c r="G298" s="19" t="str">
        <f>IF($A298="","",SUMIFS('Stock OUT (Issue)'!$G$3:$G$302,'Stock OUT (Issue)'!$D$3:$D$302,$A298,'Stock OUT (Issue)'!$C$3:$C$302,"JOB-04"))</f>
        <v/>
      </c>
      <c r="H298" s="19" t="str">
        <f>IF($A298="","",SUMIFS('Stock OUT (Issue)'!$G$3:$G$302,'Stock OUT (Issue)'!$D$3:$D$302,$A298,'Stock OUT (Issue)'!$C$3:$C$302,"JOB-05"))</f>
        <v/>
      </c>
      <c r="I298" s="19" t="str">
        <f t="shared" si="1"/>
        <v/>
      </c>
    </row>
    <row r="299" ht="15.75" customHeight="1">
      <c r="A299" s="14" t="str">
        <f>IF('Item Master'!B299="","",'Item Master'!B299)</f>
        <v/>
      </c>
      <c r="B299" s="14" t="str">
        <f>IF($A299="","",'Item Master'!C299)</f>
        <v/>
      </c>
      <c r="C299" s="14" t="str">
        <f>IF($A299="","",'Item Master'!G299)</f>
        <v/>
      </c>
      <c r="D299" s="19" t="str">
        <f>IF($A299="","",SUMIFS('Stock OUT (Issue)'!$G$3:$G$302,'Stock OUT (Issue)'!$D$3:$D$302,$A299,'Stock OUT (Issue)'!$C$3:$C$302,"JOB-01"))</f>
        <v/>
      </c>
      <c r="E299" s="19" t="str">
        <f>IF($A299="","",SUMIFS('Stock OUT (Issue)'!$G$3:$G$302,'Stock OUT (Issue)'!$D$3:$D$302,$A299,'Stock OUT (Issue)'!$C$3:$C$302,"JOB-02"))</f>
        <v/>
      </c>
      <c r="F299" s="19" t="str">
        <f>IF($A299="","",SUMIFS('Stock OUT (Issue)'!$G$3:$G$302,'Stock OUT (Issue)'!$D$3:$D$302,$A299,'Stock OUT (Issue)'!$C$3:$C$302,"JOB-03"))</f>
        <v/>
      </c>
      <c r="G299" s="19" t="str">
        <f>IF($A299="","",SUMIFS('Stock OUT (Issue)'!$G$3:$G$302,'Stock OUT (Issue)'!$D$3:$D$302,$A299,'Stock OUT (Issue)'!$C$3:$C$302,"JOB-04"))</f>
        <v/>
      </c>
      <c r="H299" s="19" t="str">
        <f>IF($A299="","",SUMIFS('Stock OUT (Issue)'!$G$3:$G$302,'Stock OUT (Issue)'!$D$3:$D$302,$A299,'Stock OUT (Issue)'!$C$3:$C$302,"JOB-05"))</f>
        <v/>
      </c>
      <c r="I299" s="19" t="str">
        <f t="shared" si="1"/>
        <v/>
      </c>
    </row>
    <row r="300" ht="15.75" customHeight="1">
      <c r="A300" s="14" t="str">
        <f>IF('Item Master'!B300="","",'Item Master'!B300)</f>
        <v/>
      </c>
      <c r="B300" s="14" t="str">
        <f>IF($A300="","",'Item Master'!C300)</f>
        <v/>
      </c>
      <c r="C300" s="14" t="str">
        <f>IF($A300="","",'Item Master'!G300)</f>
        <v/>
      </c>
      <c r="D300" s="19" t="str">
        <f>IF($A300="","",SUMIFS('Stock OUT (Issue)'!$G$3:$G$302,'Stock OUT (Issue)'!$D$3:$D$302,$A300,'Stock OUT (Issue)'!$C$3:$C$302,"JOB-01"))</f>
        <v/>
      </c>
      <c r="E300" s="19" t="str">
        <f>IF($A300="","",SUMIFS('Stock OUT (Issue)'!$G$3:$G$302,'Stock OUT (Issue)'!$D$3:$D$302,$A300,'Stock OUT (Issue)'!$C$3:$C$302,"JOB-02"))</f>
        <v/>
      </c>
      <c r="F300" s="19" t="str">
        <f>IF($A300="","",SUMIFS('Stock OUT (Issue)'!$G$3:$G$302,'Stock OUT (Issue)'!$D$3:$D$302,$A300,'Stock OUT (Issue)'!$C$3:$C$302,"JOB-03"))</f>
        <v/>
      </c>
      <c r="G300" s="19" t="str">
        <f>IF($A300="","",SUMIFS('Stock OUT (Issue)'!$G$3:$G$302,'Stock OUT (Issue)'!$D$3:$D$302,$A300,'Stock OUT (Issue)'!$C$3:$C$302,"JOB-04"))</f>
        <v/>
      </c>
      <c r="H300" s="19" t="str">
        <f>IF($A300="","",SUMIFS('Stock OUT (Issue)'!$G$3:$G$302,'Stock OUT (Issue)'!$D$3:$D$302,$A300,'Stock OUT (Issue)'!$C$3:$C$302,"JOB-05"))</f>
        <v/>
      </c>
      <c r="I300" s="19" t="str">
        <f t="shared" si="1"/>
        <v/>
      </c>
    </row>
    <row r="301" ht="15.75" customHeight="1">
      <c r="A301" s="14" t="str">
        <f>IF('Item Master'!B301="","",'Item Master'!B301)</f>
        <v/>
      </c>
      <c r="B301" s="14" t="str">
        <f>IF($A301="","",'Item Master'!C301)</f>
        <v/>
      </c>
      <c r="C301" s="14" t="str">
        <f>IF($A301="","",'Item Master'!G301)</f>
        <v/>
      </c>
      <c r="D301" s="19" t="str">
        <f>IF($A301="","",SUMIFS('Stock OUT (Issue)'!$G$3:$G$302,'Stock OUT (Issue)'!$D$3:$D$302,$A301,'Stock OUT (Issue)'!$C$3:$C$302,"JOB-01"))</f>
        <v/>
      </c>
      <c r="E301" s="19" t="str">
        <f>IF($A301="","",SUMIFS('Stock OUT (Issue)'!$G$3:$G$302,'Stock OUT (Issue)'!$D$3:$D$302,$A301,'Stock OUT (Issue)'!$C$3:$C$302,"JOB-02"))</f>
        <v/>
      </c>
      <c r="F301" s="19" t="str">
        <f>IF($A301="","",SUMIFS('Stock OUT (Issue)'!$G$3:$G$302,'Stock OUT (Issue)'!$D$3:$D$302,$A301,'Stock OUT (Issue)'!$C$3:$C$302,"JOB-03"))</f>
        <v/>
      </c>
      <c r="G301" s="19" t="str">
        <f>IF($A301="","",SUMIFS('Stock OUT (Issue)'!$G$3:$G$302,'Stock OUT (Issue)'!$D$3:$D$302,$A301,'Stock OUT (Issue)'!$C$3:$C$302,"JOB-04"))</f>
        <v/>
      </c>
      <c r="H301" s="19" t="str">
        <f>IF($A301="","",SUMIFS('Stock OUT (Issue)'!$G$3:$G$302,'Stock OUT (Issue)'!$D$3:$D$302,$A301,'Stock OUT (Issue)'!$C$3:$C$302,"JOB-05"))</f>
        <v/>
      </c>
      <c r="I301" s="19" t="str">
        <f t="shared" si="1"/>
        <v/>
      </c>
    </row>
    <row r="302" ht="15.75" customHeight="1">
      <c r="A302" s="14" t="str">
        <f>IF('Item Master'!B302="","",'Item Master'!B302)</f>
        <v/>
      </c>
      <c r="B302" s="14" t="str">
        <f>IF($A302="","",'Item Master'!C302)</f>
        <v/>
      </c>
      <c r="C302" s="14" t="str">
        <f>IF($A302="","",'Item Master'!G302)</f>
        <v/>
      </c>
      <c r="D302" s="19" t="str">
        <f>IF($A302="","",SUMIFS('Stock OUT (Issue)'!$G$3:$G$302,'Stock OUT (Issue)'!$D$3:$D$302,$A302,'Stock OUT (Issue)'!$C$3:$C$302,"JOB-01"))</f>
        <v/>
      </c>
      <c r="E302" s="19" t="str">
        <f>IF($A302="","",SUMIFS('Stock OUT (Issue)'!$G$3:$G$302,'Stock OUT (Issue)'!$D$3:$D$302,$A302,'Stock OUT (Issue)'!$C$3:$C$302,"JOB-02"))</f>
        <v/>
      </c>
      <c r="F302" s="19" t="str">
        <f>IF($A302="","",SUMIFS('Stock OUT (Issue)'!$G$3:$G$302,'Stock OUT (Issue)'!$D$3:$D$302,$A302,'Stock OUT (Issue)'!$C$3:$C$302,"JOB-03"))</f>
        <v/>
      </c>
      <c r="G302" s="19" t="str">
        <f>IF($A302="","",SUMIFS('Stock OUT (Issue)'!$G$3:$G$302,'Stock OUT (Issue)'!$D$3:$D$302,$A302,'Stock OUT (Issue)'!$C$3:$C$302,"JOB-04"))</f>
        <v/>
      </c>
      <c r="H302" s="19" t="str">
        <f>IF($A302="","",SUMIFS('Stock OUT (Issue)'!$G$3:$G$302,'Stock OUT (Issue)'!$D$3:$D$302,$A302,'Stock OUT (Issue)'!$C$3:$C$302,"JOB-05"))</f>
        <v/>
      </c>
      <c r="I302" s="19" t="str">
        <f t="shared" si="1"/>
        <v/>
      </c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2026-07-01T09:21:03Z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